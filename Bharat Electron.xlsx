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695\Downloads\"/>
    </mc:Choice>
  </mc:AlternateContent>
  <xr:revisionPtr revIDLastSave="0" documentId="13_ncr:1_{3D5D43E1-499C-479E-BCA7-36D507F52E3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 s="1"/>
  <c r="F4" i="2"/>
  <c r="F23" i="2" s="1"/>
  <c r="G4" i="2"/>
  <c r="H4" i="2"/>
  <c r="I4" i="2"/>
  <c r="I5" i="2"/>
  <c r="J4" i="2"/>
  <c r="J5" i="2"/>
  <c r="K4" i="2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E6" i="1" s="1"/>
  <c r="E19" i="1" s="1"/>
  <c r="F4" i="1"/>
  <c r="F20" i="2" s="1"/>
  <c r="G4" i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H13" i="1" s="1"/>
  <c r="I12" i="1"/>
  <c r="I23" i="2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I14" i="1" s="1"/>
  <c r="J15" i="1"/>
  <c r="K15" i="1"/>
  <c r="B15" i="1"/>
  <c r="I13" i="1"/>
  <c r="B7" i="1"/>
  <c r="B4" i="1"/>
  <c r="B20" i="2" s="1"/>
  <c r="A1" i="1"/>
  <c r="E1" i="6"/>
  <c r="H1" i="1" s="1"/>
  <c r="H16" i="2"/>
  <c r="K23" i="2"/>
  <c r="C23" i="2"/>
  <c r="K16" i="2"/>
  <c r="H23" i="2"/>
  <c r="D23" i="2"/>
  <c r="I6" i="1"/>
  <c r="I19" i="1" s="1"/>
  <c r="G6" i="1"/>
  <c r="G19" i="1" s="1"/>
  <c r="C6" i="1"/>
  <c r="C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3" i="1"/>
  <c r="L14" i="1" s="1"/>
  <c r="L25" i="1" s="1"/>
  <c r="L15" i="1"/>
  <c r="B12" i="1"/>
  <c r="B23" i="2" s="1"/>
  <c r="B11" i="1"/>
  <c r="B10" i="1"/>
  <c r="B9" i="1"/>
  <c r="B8" i="1"/>
  <c r="B3" i="1"/>
  <c r="E14" i="3"/>
  <c r="I14" i="3"/>
  <c r="G14" i="3"/>
  <c r="G20" i="2"/>
  <c r="K20" i="2"/>
  <c r="D20" i="2"/>
  <c r="L23" i="1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3" i="1"/>
  <c r="I23" i="1"/>
  <c r="J23" i="1"/>
  <c r="L5" i="1"/>
  <c r="G14" i="1" l="1"/>
  <c r="F14" i="1"/>
  <c r="C14" i="1"/>
  <c r="J14" i="1"/>
  <c r="J20" i="2"/>
  <c r="D21" i="2"/>
  <c r="I24" i="1"/>
  <c r="J24" i="2"/>
  <c r="I24" i="2"/>
  <c r="B13" i="1"/>
  <c r="K25" i="1"/>
  <c r="M25" i="1" s="1"/>
  <c r="M14" i="1" s="1"/>
  <c r="E16" i="2"/>
  <c r="H24" i="2"/>
  <c r="H14" i="1"/>
  <c r="J25" i="1" s="1"/>
  <c r="G24" i="2"/>
  <c r="E1" i="3"/>
  <c r="E1" i="2"/>
  <c r="L9" i="1"/>
  <c r="B6" i="1"/>
  <c r="B19" i="1" s="1"/>
  <c r="L7" i="1"/>
  <c r="F24" i="2"/>
  <c r="E24" i="2"/>
  <c r="D13" i="1"/>
  <c r="E13" i="1" s="1"/>
  <c r="E14" i="1"/>
  <c r="D24" i="2"/>
  <c r="D14" i="1"/>
  <c r="J23" i="2"/>
  <c r="B14" i="1"/>
  <c r="K24" i="2"/>
  <c r="M11" i="1"/>
  <c r="K24" i="1"/>
  <c r="L8" i="1"/>
  <c r="C24" i="2"/>
  <c r="M24" i="1"/>
  <c r="M9" i="1"/>
  <c r="N9" i="1"/>
  <c r="N8" i="1"/>
  <c r="M8" i="1"/>
  <c r="N23" i="1"/>
  <c r="N4" i="1" s="1"/>
  <c r="H25" i="1"/>
  <c r="I25" i="1"/>
  <c r="I20" i="2"/>
  <c r="H20" i="2"/>
  <c r="K23" i="1"/>
  <c r="M23" i="1" s="1"/>
  <c r="M4" i="1" s="1"/>
  <c r="H6" i="1"/>
  <c r="H19" i="1" s="1"/>
  <c r="J24" i="1" s="1"/>
  <c r="F6" i="1"/>
  <c r="F19" i="1" s="1"/>
  <c r="E1" i="4"/>
  <c r="H24" i="1" l="1"/>
  <c r="N24" i="1" s="1"/>
  <c r="N6" i="1" s="1"/>
  <c r="N25" i="1"/>
  <c r="N14" i="1" s="1"/>
  <c r="M6" i="1"/>
  <c r="M10" i="1" s="1"/>
  <c r="M12" i="1" s="1"/>
  <c r="M13" i="1" s="1"/>
  <c r="M15" i="1" s="1"/>
  <c r="N10" i="1" l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<sst xmlns="http://schemas.openxmlformats.org/spreadsheetml/2006/main" count="145" uniqueCount="93">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</sst>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BHARAT ELECTRONICS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7353.77</v>
      </c>
      <c r="C4" s="1">
        <f>'Data Sheet'!C17</f>
        <v>8656.39</v>
      </c>
      <c r="D4" s="1">
        <f>'Data Sheet'!D17</f>
        <v>10400.799999999999</v>
      </c>
      <c r="E4" s="1">
        <f>'Data Sheet'!E17</f>
        <v>12164.17</v>
      </c>
      <c r="F4" s="1">
        <f>'Data Sheet'!F17</f>
        <v>12967.67</v>
      </c>
      <c r="G4" s="1">
        <f>'Data Sheet'!G17</f>
        <v>14108.69</v>
      </c>
      <c r="H4" s="1">
        <f>'Data Sheet'!H17</f>
        <v>15368.18</v>
      </c>
      <c r="I4" s="1">
        <f>'Data Sheet'!I17</f>
        <v>17734.439999999999</v>
      </c>
      <c r="J4" s="1">
        <f>'Data Sheet'!J17</f>
        <v>20268.240000000002</v>
      </c>
      <c r="K4" s="1">
        <f>'Data Sheet'!K17</f>
        <v>23768.75</v>
      </c>
      <c r="L4" s="1">
        <f>SUM(Quarters!H4:K4)</f>
        <v>23768.75</v>
      </c>
      <c r="M4" s="1">
        <f>$K4+M23*K4</f>
        <v>27873.830019898123</v>
      </c>
      <c r="N4" s="1">
        <f>$K4+N23*L4</f>
        <v>26747.514283456418</v>
      </c>
    </row>
    <row r="5" spans="1:14" x14ac:dyDescent="0.25">
      <c r="A5" s="6" t="s">
        <v>7</v>
      </c>
      <c r="B5" s="9">
        <f>SUM('Data Sheet'!B18,'Data Sheet'!B20:B24, -1*'Data Sheet'!B19)</f>
        <v>5960.74</v>
      </c>
      <c r="C5" s="9">
        <f>SUM('Data Sheet'!C18,'Data Sheet'!C20:C24, -1*'Data Sheet'!C19)</f>
        <v>6864.4299999999994</v>
      </c>
      <c r="D5" s="9">
        <f>SUM('Data Sheet'!D18,'Data Sheet'!D20:D24, -1*'Data Sheet'!D19)</f>
        <v>8361.4199999999983</v>
      </c>
      <c r="E5" s="9">
        <f>SUM('Data Sheet'!E18,'Data Sheet'!E20:E24, -1*'Data Sheet'!E19)</f>
        <v>9254.76</v>
      </c>
      <c r="F5" s="9">
        <f>SUM('Data Sheet'!F18,'Data Sheet'!F20:F24, -1*'Data Sheet'!F19)</f>
        <v>10209.15</v>
      </c>
      <c r="G5" s="9">
        <f>SUM('Data Sheet'!G18,'Data Sheet'!G20:G24, -1*'Data Sheet'!G19)</f>
        <v>10894.94</v>
      </c>
      <c r="H5" s="9">
        <f>SUM('Data Sheet'!H18,'Data Sheet'!H20:H24, -1*'Data Sheet'!H19)</f>
        <v>12023.8</v>
      </c>
      <c r="I5" s="9">
        <f>SUM('Data Sheet'!I18,'Data Sheet'!I20:I24, -1*'Data Sheet'!I19)</f>
        <v>13644.68</v>
      </c>
      <c r="J5" s="9">
        <f>SUM('Data Sheet'!J18,'Data Sheet'!J20:J24, -1*'Data Sheet'!J19)</f>
        <v>15216.910000000002</v>
      </c>
      <c r="K5" s="9">
        <f>SUM('Data Sheet'!K18,'Data Sheet'!K20:K24, -1*'Data Sheet'!K19)</f>
        <v>16935.05</v>
      </c>
      <c r="L5" s="9">
        <f>SUM(Quarters!H5:K5)</f>
        <v>16935.05</v>
      </c>
      <c r="M5" s="9">
        <f t="shared" ref="M5:N5" si="0">M4-M6</f>
        <v>19859.88767093245</v>
      </c>
      <c r="N5" s="9">
        <f t="shared" si="0"/>
        <v>20486.328891806144</v>
      </c>
    </row>
    <row r="6" spans="1:14" s="8" customFormat="1" x14ac:dyDescent="0.25">
      <c r="A6" s="8" t="s">
        <v>8</v>
      </c>
      <c r="B6" s="1">
        <f>B4-B5</f>
        <v>1393.0300000000007</v>
      </c>
      <c r="C6" s="1">
        <f t="shared" ref="C6:K6" si="1">C4-C5</f>
        <v>1791.96</v>
      </c>
      <c r="D6" s="1">
        <f t="shared" si="1"/>
        <v>2039.380000000001</v>
      </c>
      <c r="E6" s="1">
        <f t="shared" si="1"/>
        <v>2909.41</v>
      </c>
      <c r="F6" s="1">
        <f t="shared" si="1"/>
        <v>2758.5200000000004</v>
      </c>
      <c r="G6" s="1">
        <f t="shared" si="1"/>
        <v>3213.75</v>
      </c>
      <c r="H6" s="1">
        <f t="shared" si="1"/>
        <v>3344.380000000001</v>
      </c>
      <c r="I6" s="1">
        <f t="shared" si="1"/>
        <v>4089.7599999999984</v>
      </c>
      <c r="J6" s="1">
        <f t="shared" si="1"/>
        <v>5051.33</v>
      </c>
      <c r="K6" s="1">
        <f t="shared" si="1"/>
        <v>6833.7000000000007</v>
      </c>
      <c r="L6" s="1">
        <f>SUM(Quarters!H6:K6)</f>
        <v>6833.7000000000007</v>
      </c>
      <c r="M6" s="1">
        <f>M4*M24</f>
        <v>8013.942348965672</v>
      </c>
      <c r="N6" s="1">
        <f>N4*N24</f>
        <v>6261.1853916502732</v>
      </c>
    </row>
    <row r="7" spans="1:14" x14ac:dyDescent="0.25">
      <c r="A7" s="6" t="s">
        <v>9</v>
      </c>
      <c r="B7" s="9">
        <f>'Data Sheet'!B25</f>
        <v>572.64</v>
      </c>
      <c r="C7" s="9">
        <f>'Data Sheet'!C25</f>
        <v>420.11</v>
      </c>
      <c r="D7" s="9">
        <f>'Data Sheet'!D25</f>
        <v>195.73</v>
      </c>
      <c r="E7" s="9">
        <f>'Data Sheet'!E25</f>
        <v>72.989999999999995</v>
      </c>
      <c r="F7" s="9">
        <f>'Data Sheet'!F25</f>
        <v>99.4</v>
      </c>
      <c r="G7" s="9">
        <f>'Data Sheet'!G25</f>
        <v>124.96</v>
      </c>
      <c r="H7" s="9">
        <f>'Data Sheet'!H25</f>
        <v>231.54</v>
      </c>
      <c r="I7" s="9">
        <f>'Data Sheet'!I25</f>
        <v>280.8</v>
      </c>
      <c r="J7" s="9">
        <f>'Data Sheet'!J25</f>
        <v>670.14</v>
      </c>
      <c r="K7" s="9">
        <f>'Data Sheet'!K25</f>
        <v>742.36</v>
      </c>
      <c r="L7" s="9">
        <f>SUM(Quarters!H7:K7)</f>
        <v>742.36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191.96</v>
      </c>
      <c r="C8" s="9">
        <f>'Data Sheet'!C26</f>
        <v>211.63</v>
      </c>
      <c r="D8" s="9">
        <f>'Data Sheet'!D26</f>
        <v>271.72000000000003</v>
      </c>
      <c r="E8" s="9">
        <f>'Data Sheet'!E26</f>
        <v>338.13</v>
      </c>
      <c r="F8" s="9">
        <f>'Data Sheet'!F26</f>
        <v>371.86</v>
      </c>
      <c r="G8" s="9">
        <f>'Data Sheet'!G26</f>
        <v>387.32</v>
      </c>
      <c r="H8" s="9">
        <f>'Data Sheet'!H26</f>
        <v>401.13</v>
      </c>
      <c r="I8" s="9">
        <f>'Data Sheet'!I26</f>
        <v>428.82</v>
      </c>
      <c r="J8" s="9">
        <f>'Data Sheet'!J26</f>
        <v>443.2</v>
      </c>
      <c r="K8" s="9">
        <f>'Data Sheet'!K26</f>
        <v>467.38</v>
      </c>
      <c r="L8" s="9">
        <f>SUM(Quarters!H8:K8)</f>
        <v>467.38</v>
      </c>
      <c r="M8" s="9">
        <f>+$L8</f>
        <v>467.38</v>
      </c>
      <c r="N8" s="9">
        <f>+$L8</f>
        <v>467.38</v>
      </c>
    </row>
    <row r="9" spans="1:14" x14ac:dyDescent="0.25">
      <c r="A9" s="6" t="s">
        <v>11</v>
      </c>
      <c r="B9" s="9">
        <f>'Data Sheet'!B27</f>
        <v>9.74</v>
      </c>
      <c r="C9" s="9">
        <f>'Data Sheet'!C27</f>
        <v>17.87</v>
      </c>
      <c r="D9" s="9">
        <f>'Data Sheet'!D27</f>
        <v>6.36</v>
      </c>
      <c r="E9" s="9">
        <f>'Data Sheet'!E27</f>
        <v>15.93</v>
      </c>
      <c r="F9" s="9">
        <f>'Data Sheet'!F27</f>
        <v>7.66</v>
      </c>
      <c r="G9" s="9">
        <f>'Data Sheet'!G27</f>
        <v>9.61</v>
      </c>
      <c r="H9" s="9">
        <f>'Data Sheet'!H27</f>
        <v>8.5500000000000007</v>
      </c>
      <c r="I9" s="9">
        <f>'Data Sheet'!I27</f>
        <v>18.829999999999998</v>
      </c>
      <c r="J9" s="9">
        <f>'Data Sheet'!J27</f>
        <v>12.06</v>
      </c>
      <c r="K9" s="9">
        <f>'Data Sheet'!K27</f>
        <v>9.68</v>
      </c>
      <c r="L9" s="9">
        <f>SUM(Quarters!H9:K9)</f>
        <v>9.68</v>
      </c>
      <c r="M9" s="9">
        <f>+$L9</f>
        <v>9.68</v>
      </c>
      <c r="N9" s="9">
        <f>+$L9</f>
        <v>9.68</v>
      </c>
    </row>
    <row r="10" spans="1:14" x14ac:dyDescent="0.25">
      <c r="A10" s="6" t="s">
        <v>12</v>
      </c>
      <c r="B10" s="9">
        <f>'Data Sheet'!B28</f>
        <v>1763.97</v>
      </c>
      <c r="C10" s="9">
        <f>'Data Sheet'!C28</f>
        <v>1982.57</v>
      </c>
      <c r="D10" s="9">
        <f>'Data Sheet'!D28</f>
        <v>1957.03</v>
      </c>
      <c r="E10" s="9">
        <f>'Data Sheet'!E28</f>
        <v>2628.34</v>
      </c>
      <c r="F10" s="9">
        <f>'Data Sheet'!F28</f>
        <v>2478.4</v>
      </c>
      <c r="G10" s="9">
        <f>'Data Sheet'!G28</f>
        <v>2941.78</v>
      </c>
      <c r="H10" s="9">
        <f>'Data Sheet'!H28</f>
        <v>3166.24</v>
      </c>
      <c r="I10" s="9">
        <f>'Data Sheet'!I28</f>
        <v>3922.91</v>
      </c>
      <c r="J10" s="9">
        <f>'Data Sheet'!J28</f>
        <v>5266.21</v>
      </c>
      <c r="K10" s="9">
        <f>'Data Sheet'!K28</f>
        <v>7099</v>
      </c>
      <c r="L10" s="9">
        <f>SUM(Quarters!H10:K10)</f>
        <v>7099</v>
      </c>
      <c r="M10" s="9">
        <f>M6+M7-SUM(M8:M9)</f>
        <v>7536.8823489656716</v>
      </c>
      <c r="N10" s="9">
        <f>N6+N7-SUM(N8:N9)</f>
        <v>5784.1253916502728</v>
      </c>
    </row>
    <row r="11" spans="1:14" x14ac:dyDescent="0.25">
      <c r="A11" s="6" t="s">
        <v>13</v>
      </c>
      <c r="B11" s="9">
        <f>'Data Sheet'!B29</f>
        <v>427.22</v>
      </c>
      <c r="C11" s="9">
        <f>'Data Sheet'!C29</f>
        <v>485.54</v>
      </c>
      <c r="D11" s="9">
        <f>'Data Sheet'!D29</f>
        <v>549.78</v>
      </c>
      <c r="E11" s="9">
        <f>'Data Sheet'!E29</f>
        <v>780.31</v>
      </c>
      <c r="F11" s="9">
        <f>'Data Sheet'!F29</f>
        <v>685.77</v>
      </c>
      <c r="G11" s="9">
        <f>'Data Sheet'!G29</f>
        <v>872.44</v>
      </c>
      <c r="H11" s="9">
        <f>'Data Sheet'!H29</f>
        <v>811.78</v>
      </c>
      <c r="I11" s="9">
        <f>'Data Sheet'!I29</f>
        <v>982.56</v>
      </c>
      <c r="J11" s="9">
        <f>'Data Sheet'!J29</f>
        <v>1323.1</v>
      </c>
      <c r="K11" s="9">
        <f>'Data Sheet'!K29</f>
        <v>1811.85</v>
      </c>
      <c r="L11" s="9">
        <f>SUM(Quarters!H11:K11)</f>
        <v>1811.85</v>
      </c>
      <c r="M11" s="10">
        <f>IF($L10&gt;0,$L11/$L10,0)</f>
        <v>0.255226088181434</v>
      </c>
      <c r="N11" s="10">
        <f>IF($L10&gt;0,$L11/$L10,0)</f>
        <v>0.255226088181434</v>
      </c>
    </row>
    <row r="12" spans="1:14" s="8" customFormat="1" x14ac:dyDescent="0.25">
      <c r="A12" s="8" t="s">
        <v>14</v>
      </c>
      <c r="B12" s="1">
        <f>'Data Sheet'!B30</f>
        <v>1337.39</v>
      </c>
      <c r="C12" s="1">
        <f>'Data Sheet'!C30</f>
        <v>1523.58</v>
      </c>
      <c r="D12" s="1">
        <f>'Data Sheet'!D30</f>
        <v>1431.72</v>
      </c>
      <c r="E12" s="1">
        <f>'Data Sheet'!E30</f>
        <v>1886.4</v>
      </c>
      <c r="F12" s="1">
        <f>'Data Sheet'!F30</f>
        <v>1823.85</v>
      </c>
      <c r="G12" s="1">
        <f>'Data Sheet'!G30</f>
        <v>2098.94</v>
      </c>
      <c r="H12" s="1">
        <f>'Data Sheet'!H30</f>
        <v>2398.87</v>
      </c>
      <c r="I12" s="1">
        <f>'Data Sheet'!I30</f>
        <v>2984.42</v>
      </c>
      <c r="J12" s="1">
        <f>'Data Sheet'!J30</f>
        <v>3984.52</v>
      </c>
      <c r="K12" s="1">
        <f>'Data Sheet'!K30</f>
        <v>5321.44</v>
      </c>
      <c r="L12" s="1">
        <f>SUM(Quarters!H12:K12)</f>
        <v>5321.4400000000005</v>
      </c>
      <c r="M12" s="1">
        <f>M10-M11*M10</f>
        <v>5613.2733499554652</v>
      </c>
      <c r="N12" s="1">
        <f>N10-N11*N10</f>
        <v>4307.8656943884689</v>
      </c>
    </row>
    <row r="13" spans="1:14" x14ac:dyDescent="0.25">
      <c r="A13" s="11" t="s">
        <v>57</v>
      </c>
      <c r="B13" s="9">
        <f>IF('Data Sheet'!B93&gt;0,B12/'Data Sheet'!B93,0)</f>
        <v>1.6886237373737376</v>
      </c>
      <c r="C13" s="9">
        <f>IF('Data Sheet'!C93&gt;0,C12/'Data Sheet'!C93,0)</f>
        <v>2.0669922669922669</v>
      </c>
      <c r="D13" s="9">
        <f>IF('Data Sheet'!D93&gt;0,D12/'Data Sheet'!D93,0)</f>
        <v>1.9586308790938192</v>
      </c>
      <c r="E13" s="9">
        <f>IF('Data Sheet'!E93&gt;0,E12/'Data Sheet'!E93,0)</f>
        <v>2.5806451612903225</v>
      </c>
      <c r="F13" s="9">
        <f>IF('Data Sheet'!F93&gt;0,F12/'Data Sheet'!F93,0)</f>
        <v>2.4950751046540258</v>
      </c>
      <c r="G13" s="9">
        <f>IF('Data Sheet'!G93&gt;0,G12/'Data Sheet'!G93,0)</f>
        <v>2.8714055104106815</v>
      </c>
      <c r="H13" s="9">
        <f>IF('Data Sheet'!H93&gt;0,H12/'Data Sheet'!H93,0)</f>
        <v>3.2817176940545565</v>
      </c>
      <c r="I13" s="9">
        <f>IF('Data Sheet'!I93&gt;0,I12/'Data Sheet'!I93,0)</f>
        <v>4.0827656023420618</v>
      </c>
      <c r="J13" s="9">
        <f>IF('Data Sheet'!J93&gt;0,J12/'Data Sheet'!J93,0)</f>
        <v>5.4509288899833095</v>
      </c>
      <c r="K13" s="9">
        <f>IF('Data Sheet'!K93&gt;0,K12/'Data Sheet'!K93,0)</f>
        <v>7.2798708582998159</v>
      </c>
      <c r="L13" s="9">
        <f>IF('Data Sheet'!$B6&gt;0,'Profit &amp; Loss'!L12/'Data Sheet'!$B6,0)</f>
        <v>7.2798919133399114</v>
      </c>
      <c r="M13" s="9">
        <f>IF('Data Sheet'!$B6&gt;0,'Profit &amp; Loss'!M12/'Data Sheet'!$B6,0)</f>
        <v>7.6791288199636227</v>
      </c>
      <c r="N13" s="9">
        <f>IF('Data Sheet'!$B6&gt;0,'Profit &amp; Loss'!N12/'Data Sheet'!$B6,0)</f>
        <v>5.8932914084031829</v>
      </c>
    </row>
    <row r="14" spans="1:14" x14ac:dyDescent="0.25">
      <c r="A14" s="6" t="s">
        <v>16</v>
      </c>
      <c r="B14" s="9">
        <f>IF(B15&gt;0,B15/B13,"")</f>
        <v>21.970554587667021</v>
      </c>
      <c r="C14" s="9">
        <f t="shared" ref="C14:K14" si="2">IF(C15&gt;0,C15/C13,"")</f>
        <v>22.980250462725948</v>
      </c>
      <c r="D14" s="9">
        <f t="shared" si="2"/>
        <v>24.072938144329896</v>
      </c>
      <c r="E14" s="9">
        <f t="shared" si="2"/>
        <v>12.0435</v>
      </c>
      <c r="F14" s="9">
        <f t="shared" si="2"/>
        <v>9.9475963483839145</v>
      </c>
      <c r="G14" s="9">
        <f t="shared" si="2"/>
        <v>14.522504692844961</v>
      </c>
      <c r="H14" s="9">
        <f t="shared" si="2"/>
        <v>21.412567000295976</v>
      </c>
      <c r="I14" s="9">
        <f t="shared" si="2"/>
        <v>23.893117925761118</v>
      </c>
      <c r="J14" s="9">
        <f t="shared" si="2"/>
        <v>36.966176603455374</v>
      </c>
      <c r="K14" s="9">
        <f t="shared" si="2"/>
        <v>41.390844132415289</v>
      </c>
      <c r="L14" s="9">
        <f t="shared" ref="L14" si="3">IF(L13&gt;0,L15/L13,0)</f>
        <v>53.668379235695596</v>
      </c>
      <c r="M14" s="9">
        <f>M25</f>
        <v>53.668379235695596</v>
      </c>
      <c r="N14" s="9">
        <f>N25</f>
        <v>25.715311739415917</v>
      </c>
    </row>
    <row r="15" spans="1:14" s="8" customFormat="1" x14ac:dyDescent="0.25">
      <c r="A15" s="8" t="s">
        <v>58</v>
      </c>
      <c r="B15" s="1">
        <f>'Data Sheet'!B90</f>
        <v>37.1</v>
      </c>
      <c r="C15" s="1">
        <f>'Data Sheet'!C90</f>
        <v>47.5</v>
      </c>
      <c r="D15" s="1">
        <f>'Data Sheet'!D90</f>
        <v>47.15</v>
      </c>
      <c r="E15" s="1">
        <f>'Data Sheet'!E90</f>
        <v>31.08</v>
      </c>
      <c r="F15" s="1">
        <f>'Data Sheet'!F90</f>
        <v>24.82</v>
      </c>
      <c r="G15" s="1">
        <f>'Data Sheet'!G90</f>
        <v>41.7</v>
      </c>
      <c r="H15" s="1">
        <f>'Data Sheet'!H90</f>
        <v>70.27</v>
      </c>
      <c r="I15" s="1">
        <f>'Data Sheet'!I90</f>
        <v>97.55</v>
      </c>
      <c r="J15" s="1">
        <f>'Data Sheet'!J90</f>
        <v>201.5</v>
      </c>
      <c r="K15" s="1">
        <f>'Data Sheet'!K90</f>
        <v>301.32</v>
      </c>
      <c r="L15" s="1">
        <f>'Data Sheet'!B8</f>
        <v>390.7</v>
      </c>
      <c r="M15" s="12">
        <f>M13*M14</f>
        <v>412.1263977095673</v>
      </c>
      <c r="N15" s="13">
        <f>N13*N14</f>
        <v>151.54782573830934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0.30507181899072072</v>
      </c>
      <c r="C18" s="7">
        <f>IF('Data Sheet'!C30&gt;0, 'Data Sheet'!C31/'Data Sheet'!C30, 0)</f>
        <v>0.32985468436183202</v>
      </c>
      <c r="D18" s="7">
        <f>IF('Data Sheet'!D30&gt;0, 'Data Sheet'!D31/'Data Sheet'!D30, 0)</f>
        <v>0.34037381610929512</v>
      </c>
      <c r="E18" s="7">
        <f>IF('Data Sheet'!E30&gt;0, 'Data Sheet'!E31/'Data Sheet'!E30, 0)</f>
        <v>0.43916454622561496</v>
      </c>
      <c r="F18" s="7">
        <f>IF('Data Sheet'!F30&gt;0, 'Data Sheet'!F31/'Data Sheet'!F30, 0)</f>
        <v>0.37407133262055542</v>
      </c>
      <c r="G18" s="7">
        <f>IF('Data Sheet'!G30&gt;0, 'Data Sheet'!G31/'Data Sheet'!G30, 0)</f>
        <v>0.46434867123405144</v>
      </c>
      <c r="H18" s="7">
        <f>IF('Data Sheet'!H30&gt;0, 'Data Sheet'!H31/'Data Sheet'!H30, 0)</f>
        <v>0.45707770742057724</v>
      </c>
      <c r="I18" s="7">
        <f>IF('Data Sheet'!I30&gt;0, 'Data Sheet'!I31/'Data Sheet'!I30, 0)</f>
        <v>0.44087628416911828</v>
      </c>
      <c r="J18" s="7">
        <f>IF('Data Sheet'!J30&gt;0, 'Data Sheet'!J31/'Data Sheet'!J30, 0)</f>
        <v>0.4036019395058878</v>
      </c>
      <c r="K18" s="7">
        <f>IF('Data Sheet'!K30&gt;0, 'Data Sheet'!K31/'Data Sheet'!K30, 0)</f>
        <v>0.32967580203854596</v>
      </c>
    </row>
    <row r="19" spans="1:14" x14ac:dyDescent="0.25">
      <c r="A19" s="6" t="s">
        <v>18</v>
      </c>
      <c r="B19" s="7">
        <f t="shared" ref="B19:L19" si="4">IF(B6&gt;0,B6/B4,0)</f>
        <v>0.1894307273684111</v>
      </c>
      <c r="C19" s="7">
        <f t="shared" ref="C19:K19" si="5">IF(C6&gt;0,C6/C4,0)</f>
        <v>0.20701008156979989</v>
      </c>
      <c r="D19" s="7">
        <f t="shared" si="5"/>
        <v>0.19607914775786489</v>
      </c>
      <c r="E19" s="7">
        <f t="shared" si="5"/>
        <v>0.23917866981470992</v>
      </c>
      <c r="F19" s="7">
        <f t="shared" si="5"/>
        <v>0.21272287157214831</v>
      </c>
      <c r="G19" s="7">
        <f t="shared" si="5"/>
        <v>0.22778514518357126</v>
      </c>
      <c r="H19" s="7">
        <f t="shared" si="5"/>
        <v>0.21761718043385755</v>
      </c>
      <c r="I19" s="7">
        <f t="shared" si="5"/>
        <v>0.23061117238548265</v>
      </c>
      <c r="J19" s="7">
        <f t="shared" si="5"/>
        <v>0.24922390893338542</v>
      </c>
      <c r="K19" s="7">
        <f t="shared" si="5"/>
        <v>0.28750775703392062</v>
      </c>
      <c r="L19" s="7">
        <f t="shared" si="4"/>
        <v>0.28750775703392062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0.1392281298180611</v>
      </c>
      <c r="I23" s="7">
        <f>IF(D4=0,"",POWER($K4/D4,1/7)-1)</f>
        <v>0.12532271505470072</v>
      </c>
      <c r="J23" s="7">
        <f>IF(F4=0,"",POWER($K4/F4,1/5)-1)</f>
        <v>0.12883087266358939</v>
      </c>
      <c r="K23" s="7">
        <f>IF(H4=0,"",POWER($K4/H4, 1/3)-1)</f>
        <v>0.15645294936334064</v>
      </c>
      <c r="L23" s="7">
        <f>IF(ISERROR(MAX(IF(J4=0,"",(K4-J4)/J4),IF(K4=0,"",(L4-K4)/K4))),"",MAX(IF(J4=0,"",(K4-J4)/J4),IF(K4=0,"",(L4-K4)/K4)))</f>
        <v>0.17270912521264786</v>
      </c>
      <c r="M23" s="22">
        <f>MAX(K23:L23)</f>
        <v>0.17270912521264786</v>
      </c>
      <c r="N23" s="22">
        <f>MIN(H23:L23)</f>
        <v>0.12532271505470072</v>
      </c>
    </row>
    <row r="24" spans="1:14" x14ac:dyDescent="0.25">
      <c r="G24" s="6" t="s">
        <v>18</v>
      </c>
      <c r="H24" s="7">
        <f>IF(SUM(B4:$K$4)=0,"",SUMPRODUCT(B19:$K$19,B4:$K$4)/SUM(B4:$K$4))</f>
        <v>0.23408475738333837</v>
      </c>
      <c r="I24" s="7">
        <f>IF(SUM(E4:$K$4)=0,"",SUMPRODUCT(E19:$K$19,E4:$K$4)/SUM(E4:$K$4))</f>
        <v>0.24231668736607467</v>
      </c>
      <c r="J24" s="7">
        <f>IF(SUM(G4:$K$4)=0,"",SUMPRODUCT(G19:$K$19,G4:$K$4)/SUM(G4:$K$4))</f>
        <v>0.24694071012829824</v>
      </c>
      <c r="K24" s="7">
        <f>IF(SUM(I4:$K$4)=0, "", SUMPRODUCT(I19:$K$19,I4:$K$4)/SUM(I4:$K$4))</f>
        <v>0.25861130299233803</v>
      </c>
      <c r="L24" s="7">
        <f>L19</f>
        <v>0.28750775703392062</v>
      </c>
      <c r="M24" s="22">
        <f>MAX(K24:L24)</f>
        <v>0.28750775703392062</v>
      </c>
      <c r="N24" s="22">
        <f>MIN(H24:L24)</f>
        <v>0.23408475738333837</v>
      </c>
    </row>
    <row r="25" spans="1:14" x14ac:dyDescent="0.25">
      <c r="G25" s="6" t="s">
        <v>23</v>
      </c>
      <c r="H25" s="9">
        <f>IF(ISERROR(AVERAGEIF(B14:$L14,"&gt;0")),"",AVERAGEIF(B14:$L14,"&gt;0"))</f>
        <v>25.715311739415917</v>
      </c>
      <c r="I25" s="9">
        <f>IF(ISERROR(AVERAGEIF(E14:$L14,"&gt;0")),"",AVERAGEIF(E14:$L14,"&gt;0"))</f>
        <v>26.730585742356528</v>
      </c>
      <c r="J25" s="9">
        <f>IF(ISERROR(AVERAGEIF(G14:$L14,"&gt;0")),"",AVERAGEIF(G14:$L14,"&gt;0"))</f>
        <v>31.975598265078052</v>
      </c>
      <c r="K25" s="9">
        <f>IF(ISERROR(AVERAGEIF(I14:$L14,"&gt;0")),"",AVERAGEIF(I14:$L14,"&gt;0"))</f>
        <v>38.979629474331844</v>
      </c>
      <c r="L25" s="9">
        <f>L14</f>
        <v>53.668379235695596</v>
      </c>
      <c r="M25" s="1">
        <f>MAX(K25:L25)</f>
        <v>53.668379235695596</v>
      </c>
      <c r="N25" s="1">
        <f>MIN(H25:L25)</f>
        <v>25.715311739415917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BHARAT ELECTRONICS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44926</v>
      </c>
      <c r="C3" s="16">
        <f>'Data Sheet'!C41</f>
        <v>45016</v>
      </c>
      <c r="D3" s="16">
        <f>'Data Sheet'!D41</f>
        <v>45107</v>
      </c>
      <c r="E3" s="16">
        <f>'Data Sheet'!E41</f>
        <v>45199</v>
      </c>
      <c r="F3" s="16">
        <f>'Data Sheet'!F41</f>
        <v>45291</v>
      </c>
      <c r="G3" s="16">
        <f>'Data Sheet'!G41</f>
        <v>45382</v>
      </c>
      <c r="H3" s="16">
        <f>'Data Sheet'!H41</f>
        <v>45473</v>
      </c>
      <c r="I3" s="16">
        <f>'Data Sheet'!I41</f>
        <v>45565</v>
      </c>
      <c r="J3" s="16">
        <f>'Data Sheet'!J41</f>
        <v>45657</v>
      </c>
      <c r="K3" s="16">
        <f>'Data Sheet'!K41</f>
        <v>45747</v>
      </c>
    </row>
    <row r="4" spans="1:11" s="8" customFormat="1" x14ac:dyDescent="0.25">
      <c r="A4" s="8" t="s">
        <v>6</v>
      </c>
      <c r="B4" s="1">
        <f>'Data Sheet'!B42</f>
        <v>4153.12</v>
      </c>
      <c r="C4" s="1">
        <f>'Data Sheet'!C42</f>
        <v>6479.12</v>
      </c>
      <c r="D4" s="1">
        <f>'Data Sheet'!D42</f>
        <v>3532.94</v>
      </c>
      <c r="E4" s="1">
        <f>'Data Sheet'!E42</f>
        <v>4009.06</v>
      </c>
      <c r="F4" s="1">
        <f>'Data Sheet'!F42</f>
        <v>4162.16</v>
      </c>
      <c r="G4" s="1">
        <f>'Data Sheet'!G42</f>
        <v>8564.08</v>
      </c>
      <c r="H4" s="1">
        <f>'Data Sheet'!H42</f>
        <v>4243.57</v>
      </c>
      <c r="I4" s="1">
        <f>'Data Sheet'!I42</f>
        <v>4604.8999999999996</v>
      </c>
      <c r="J4" s="1">
        <f>'Data Sheet'!J42</f>
        <v>5770.69</v>
      </c>
      <c r="K4" s="1">
        <f>'Data Sheet'!K42</f>
        <v>9149.59</v>
      </c>
    </row>
    <row r="5" spans="1:11" x14ac:dyDescent="0.25">
      <c r="A5" s="6" t="s">
        <v>7</v>
      </c>
      <c r="B5" s="9">
        <f>'Data Sheet'!B43</f>
        <v>3289.73</v>
      </c>
      <c r="C5" s="9">
        <f>'Data Sheet'!C43</f>
        <v>4647.28</v>
      </c>
      <c r="D5" s="9">
        <f>'Data Sheet'!D43</f>
        <v>2860.43</v>
      </c>
      <c r="E5" s="9">
        <f>'Data Sheet'!E43</f>
        <v>2994.89</v>
      </c>
      <c r="F5" s="9">
        <f>'Data Sheet'!F43</f>
        <v>3089.66</v>
      </c>
      <c r="G5" s="9">
        <f>'Data Sheet'!G43</f>
        <v>6276.85</v>
      </c>
      <c r="H5" s="9">
        <f>'Data Sheet'!H43</f>
        <v>3295.37</v>
      </c>
      <c r="I5" s="9">
        <f>'Data Sheet'!I43</f>
        <v>3204.95</v>
      </c>
      <c r="J5" s="9">
        <f>'Data Sheet'!J43</f>
        <v>4101.2</v>
      </c>
      <c r="K5" s="9">
        <f>'Data Sheet'!K43</f>
        <v>6333.53</v>
      </c>
    </row>
    <row r="6" spans="1:11" s="8" customFormat="1" x14ac:dyDescent="0.25">
      <c r="A6" s="8" t="s">
        <v>8</v>
      </c>
      <c r="B6" s="1">
        <f>'Data Sheet'!B50</f>
        <v>863.39</v>
      </c>
      <c r="C6" s="1">
        <f>'Data Sheet'!C50</f>
        <v>1831.84</v>
      </c>
      <c r="D6" s="1">
        <f>'Data Sheet'!D50</f>
        <v>672.51</v>
      </c>
      <c r="E6" s="1">
        <f>'Data Sheet'!E50</f>
        <v>1014.17</v>
      </c>
      <c r="F6" s="1">
        <f>'Data Sheet'!F50</f>
        <v>1072.5</v>
      </c>
      <c r="G6" s="1">
        <f>'Data Sheet'!G50</f>
        <v>2287.23</v>
      </c>
      <c r="H6" s="1">
        <f>'Data Sheet'!H50</f>
        <v>948.2</v>
      </c>
      <c r="I6" s="1">
        <f>'Data Sheet'!I50</f>
        <v>1399.95</v>
      </c>
      <c r="J6" s="1">
        <f>'Data Sheet'!J50</f>
        <v>1669.49</v>
      </c>
      <c r="K6" s="1">
        <f>'Data Sheet'!K50</f>
        <v>2816.06</v>
      </c>
    </row>
    <row r="7" spans="1:11" x14ac:dyDescent="0.25">
      <c r="A7" s="6" t="s">
        <v>9</v>
      </c>
      <c r="B7" s="9">
        <f>'Data Sheet'!B44</f>
        <v>58.64</v>
      </c>
      <c r="C7" s="9">
        <f>'Data Sheet'!C44</f>
        <v>66.16</v>
      </c>
      <c r="D7" s="9">
        <f>'Data Sheet'!D44</f>
        <v>140.22999999999999</v>
      </c>
      <c r="E7" s="9">
        <f>'Data Sheet'!E44</f>
        <v>137.06</v>
      </c>
      <c r="F7" s="9">
        <f>'Data Sheet'!F44</f>
        <v>167.42</v>
      </c>
      <c r="G7" s="9">
        <f>'Data Sheet'!G44</f>
        <v>225.43</v>
      </c>
      <c r="H7" s="9">
        <f>'Data Sheet'!H44</f>
        <v>203.58</v>
      </c>
      <c r="I7" s="9">
        <f>'Data Sheet'!I44</f>
        <v>157.76</v>
      </c>
      <c r="J7" s="9">
        <f>'Data Sheet'!J44</f>
        <v>186.38</v>
      </c>
      <c r="K7" s="9">
        <f>'Data Sheet'!K44</f>
        <v>194.64</v>
      </c>
    </row>
    <row r="8" spans="1:11" x14ac:dyDescent="0.25">
      <c r="A8" s="6" t="s">
        <v>10</v>
      </c>
      <c r="B8" s="9">
        <f>'Data Sheet'!B45</f>
        <v>106.07</v>
      </c>
      <c r="C8" s="9">
        <f>'Data Sheet'!C45</f>
        <v>113.98</v>
      </c>
      <c r="D8" s="9">
        <f>'Data Sheet'!D45</f>
        <v>108.94</v>
      </c>
      <c r="E8" s="9">
        <f>'Data Sheet'!E45</f>
        <v>108.26</v>
      </c>
      <c r="F8" s="9">
        <f>'Data Sheet'!F45</f>
        <v>107.46</v>
      </c>
      <c r="G8" s="9">
        <f>'Data Sheet'!G45</f>
        <v>118.54</v>
      </c>
      <c r="H8" s="9">
        <f>'Data Sheet'!H45</f>
        <v>107.68</v>
      </c>
      <c r="I8" s="9">
        <f>'Data Sheet'!I45</f>
        <v>111.19</v>
      </c>
      <c r="J8" s="9">
        <f>'Data Sheet'!J45</f>
        <v>110.93</v>
      </c>
      <c r="K8" s="9">
        <f>'Data Sheet'!K45</f>
        <v>137.58000000000001</v>
      </c>
    </row>
    <row r="9" spans="1:11" x14ac:dyDescent="0.25">
      <c r="A9" s="6" t="s">
        <v>11</v>
      </c>
      <c r="B9" s="9">
        <f>'Data Sheet'!B46</f>
        <v>9.7200000000000006</v>
      </c>
      <c r="C9" s="9">
        <f>'Data Sheet'!C46</f>
        <v>2.46</v>
      </c>
      <c r="D9" s="9">
        <f>'Data Sheet'!D46</f>
        <v>1.07</v>
      </c>
      <c r="E9" s="9">
        <f>'Data Sheet'!E46</f>
        <v>1.51</v>
      </c>
      <c r="F9" s="9">
        <f>'Data Sheet'!F46</f>
        <v>0.51</v>
      </c>
      <c r="G9" s="9">
        <f>'Data Sheet'!G46</f>
        <v>4.05</v>
      </c>
      <c r="H9" s="9">
        <f>'Data Sheet'!H46</f>
        <v>1.18</v>
      </c>
      <c r="I9" s="9">
        <f>'Data Sheet'!I46</f>
        <v>1.32</v>
      </c>
      <c r="J9" s="9">
        <f>'Data Sheet'!J46</f>
        <v>1.32</v>
      </c>
      <c r="K9" s="9">
        <f>'Data Sheet'!K46</f>
        <v>5.86</v>
      </c>
    </row>
    <row r="10" spans="1:11" x14ac:dyDescent="0.25">
      <c r="A10" s="6" t="s">
        <v>12</v>
      </c>
      <c r="B10" s="9">
        <f>'Data Sheet'!B47</f>
        <v>806.24</v>
      </c>
      <c r="C10" s="9">
        <f>'Data Sheet'!C47</f>
        <v>1781.56</v>
      </c>
      <c r="D10" s="9">
        <f>'Data Sheet'!D47</f>
        <v>702.73</v>
      </c>
      <c r="E10" s="9">
        <f>'Data Sheet'!E47</f>
        <v>1041.46</v>
      </c>
      <c r="F10" s="9">
        <f>'Data Sheet'!F47</f>
        <v>1131.95</v>
      </c>
      <c r="G10" s="9">
        <f>'Data Sheet'!G47</f>
        <v>2390.0700000000002</v>
      </c>
      <c r="H10" s="9">
        <f>'Data Sheet'!H47</f>
        <v>1042.92</v>
      </c>
      <c r="I10" s="9">
        <f>'Data Sheet'!I47</f>
        <v>1445.2</v>
      </c>
      <c r="J10" s="9">
        <f>'Data Sheet'!J47</f>
        <v>1743.62</v>
      </c>
      <c r="K10" s="9">
        <f>'Data Sheet'!K47</f>
        <v>2867.26</v>
      </c>
    </row>
    <row r="11" spans="1:11" x14ac:dyDescent="0.25">
      <c r="A11" s="6" t="s">
        <v>13</v>
      </c>
      <c r="B11" s="9">
        <f>'Data Sheet'!B48</f>
        <v>203.23</v>
      </c>
      <c r="C11" s="9">
        <f>'Data Sheet'!C48</f>
        <v>415.18</v>
      </c>
      <c r="D11" s="9">
        <f>'Data Sheet'!D48</f>
        <v>174.13</v>
      </c>
      <c r="E11" s="9">
        <f>'Data Sheet'!E48</f>
        <v>260.73</v>
      </c>
      <c r="F11" s="9">
        <f>'Data Sheet'!F48</f>
        <v>283.83</v>
      </c>
      <c r="G11" s="9">
        <f>'Data Sheet'!G48</f>
        <v>604.41</v>
      </c>
      <c r="H11" s="9">
        <f>'Data Sheet'!H48</f>
        <v>261.93</v>
      </c>
      <c r="I11" s="9">
        <f>'Data Sheet'!I48</f>
        <v>361.32</v>
      </c>
      <c r="J11" s="9">
        <f>'Data Sheet'!J48</f>
        <v>442.35</v>
      </c>
      <c r="K11" s="9">
        <f>'Data Sheet'!K48</f>
        <v>746.25</v>
      </c>
    </row>
    <row r="12" spans="1:11" s="8" customFormat="1" x14ac:dyDescent="0.25">
      <c r="A12" s="8" t="s">
        <v>14</v>
      </c>
      <c r="B12" s="1">
        <f>'Data Sheet'!B49</f>
        <v>613.01</v>
      </c>
      <c r="C12" s="1">
        <f>'Data Sheet'!C49</f>
        <v>1382.02</v>
      </c>
      <c r="D12" s="1">
        <f>'Data Sheet'!D49</f>
        <v>538.48</v>
      </c>
      <c r="E12" s="1">
        <f>'Data Sheet'!E49</f>
        <v>789.35</v>
      </c>
      <c r="F12" s="1">
        <f>'Data Sheet'!F49</f>
        <v>859.58</v>
      </c>
      <c r="G12" s="1">
        <f>'Data Sheet'!G49</f>
        <v>1797.11</v>
      </c>
      <c r="H12" s="1">
        <f>'Data Sheet'!H49</f>
        <v>791</v>
      </c>
      <c r="I12" s="1">
        <f>'Data Sheet'!I49</f>
        <v>1092.45</v>
      </c>
      <c r="J12" s="1">
        <f>'Data Sheet'!J49</f>
        <v>1310.95</v>
      </c>
      <c r="K12" s="1">
        <f>'Data Sheet'!K49</f>
        <v>2127.04</v>
      </c>
    </row>
    <row r="14" spans="1:11" s="8" customFormat="1" x14ac:dyDescent="0.25">
      <c r="A14" s="2" t="s">
        <v>18</v>
      </c>
      <c r="B14" s="14">
        <f>IF(B4&gt;0,B6/B4,"")</f>
        <v>0.20788949031089879</v>
      </c>
      <c r="C14" s="14">
        <f t="shared" ref="C14:K14" si="0">IF(C4&gt;0,C6/C4,"")</f>
        <v>0.28272975342330436</v>
      </c>
      <c r="D14" s="14">
        <f t="shared" si="0"/>
        <v>0.19035420924216093</v>
      </c>
      <c r="E14" s="14">
        <f t="shared" si="0"/>
        <v>0.25296952402807638</v>
      </c>
      <c r="F14" s="14">
        <f t="shared" si="0"/>
        <v>0.25767870528763914</v>
      </c>
      <c r="G14" s="14">
        <f t="shared" si="0"/>
        <v>0.26707247013105906</v>
      </c>
      <c r="H14" s="14">
        <f t="shared" si="0"/>
        <v>0.22344393989023395</v>
      </c>
      <c r="I14" s="14">
        <f t="shared" si="0"/>
        <v>0.30401311646289825</v>
      </c>
      <c r="J14" s="14">
        <f t="shared" si="0"/>
        <v>0.28930509176545616</v>
      </c>
      <c r="K14" s="14">
        <f t="shared" si="0"/>
        <v>0.30777991144958405</v>
      </c>
    </row>
    <row r="22" s="30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BHARAT ELECTRONICS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5">
      <c r="A4" s="6" t="s">
        <v>24</v>
      </c>
      <c r="B4" s="19">
        <f>'Data Sheet'!B57</f>
        <v>240</v>
      </c>
      <c r="C4" s="19">
        <f>'Data Sheet'!C57</f>
        <v>223.36</v>
      </c>
      <c r="D4" s="19">
        <f>'Data Sheet'!D57</f>
        <v>243.66</v>
      </c>
      <c r="E4" s="19">
        <f>'Data Sheet'!E57</f>
        <v>243.66</v>
      </c>
      <c r="F4" s="19">
        <f>'Data Sheet'!F57</f>
        <v>243.66</v>
      </c>
      <c r="G4" s="19">
        <f>'Data Sheet'!G57</f>
        <v>243.66</v>
      </c>
      <c r="H4" s="19">
        <f>'Data Sheet'!H57</f>
        <v>243.66</v>
      </c>
      <c r="I4" s="19">
        <f>'Data Sheet'!I57</f>
        <v>730.98</v>
      </c>
      <c r="J4" s="19">
        <f>'Data Sheet'!J57</f>
        <v>730.98</v>
      </c>
      <c r="K4" s="19">
        <f>'Data Sheet'!K57</f>
        <v>730.98</v>
      </c>
    </row>
    <row r="5" spans="1:11" s="6" customFormat="1" x14ac:dyDescent="0.25">
      <c r="A5" s="6" t="s">
        <v>25</v>
      </c>
      <c r="B5" s="19">
        <f>'Data Sheet'!B58</f>
        <v>9006.16</v>
      </c>
      <c r="C5" s="19">
        <f>'Data Sheet'!C58</f>
        <v>7512.41</v>
      </c>
      <c r="D5" s="19">
        <f>'Data Sheet'!D58</f>
        <v>7772.02</v>
      </c>
      <c r="E5" s="19">
        <f>'Data Sheet'!E58</f>
        <v>8967.84</v>
      </c>
      <c r="F5" s="19">
        <f>'Data Sheet'!F58</f>
        <v>9827.8700000000008</v>
      </c>
      <c r="G5" s="19">
        <f>'Data Sheet'!G58</f>
        <v>10815.92</v>
      </c>
      <c r="H5" s="19">
        <f>'Data Sheet'!H58</f>
        <v>12042.27</v>
      </c>
      <c r="I5" s="19">
        <f>'Data Sheet'!I58</f>
        <v>13130.65</v>
      </c>
      <c r="J5" s="19">
        <f>'Data Sheet'!J58</f>
        <v>15595.49</v>
      </c>
      <c r="K5" s="19">
        <f>'Data Sheet'!K58</f>
        <v>19242.91</v>
      </c>
    </row>
    <row r="6" spans="1:11" x14ac:dyDescent="0.25">
      <c r="A6" s="11" t="s">
        <v>71</v>
      </c>
      <c r="B6" s="19">
        <f>'Data Sheet'!B59</f>
        <v>28.39</v>
      </c>
      <c r="C6" s="19">
        <f>'Data Sheet'!C59</f>
        <v>63.58</v>
      </c>
      <c r="D6" s="19">
        <f>'Data Sheet'!D59</f>
        <v>80.36</v>
      </c>
      <c r="E6" s="19">
        <f>'Data Sheet'!E59</f>
        <v>33.630000000000003</v>
      </c>
      <c r="F6" s="19">
        <f>'Data Sheet'!F59</f>
        <v>8.33</v>
      </c>
      <c r="G6" s="19">
        <f>'Data Sheet'!G59</f>
        <v>2.52</v>
      </c>
      <c r="H6" s="19">
        <f>'Data Sheet'!H59</f>
        <v>52.7</v>
      </c>
      <c r="I6" s="19">
        <f>'Data Sheet'!I59</f>
        <v>61.34</v>
      </c>
      <c r="J6" s="19">
        <f>'Data Sheet'!J59</f>
        <v>62.51</v>
      </c>
      <c r="K6" s="19">
        <f>'Data Sheet'!K59</f>
        <v>61.23</v>
      </c>
    </row>
    <row r="7" spans="1:11" s="6" customFormat="1" x14ac:dyDescent="0.25">
      <c r="A7" s="11" t="s">
        <v>72</v>
      </c>
      <c r="B7" s="19">
        <f>'Data Sheet'!B60</f>
        <v>9330.39</v>
      </c>
      <c r="C7" s="19">
        <f>'Data Sheet'!C60</f>
        <v>9800.2900000000009</v>
      </c>
      <c r="D7" s="19">
        <f>'Data Sheet'!D60</f>
        <v>10868.48</v>
      </c>
      <c r="E7" s="19">
        <f>'Data Sheet'!E60</f>
        <v>11575.45</v>
      </c>
      <c r="F7" s="19">
        <f>'Data Sheet'!F60</f>
        <v>14270.66</v>
      </c>
      <c r="G7" s="19">
        <f>'Data Sheet'!G60</f>
        <v>18429.509999999998</v>
      </c>
      <c r="H7" s="19">
        <f>'Data Sheet'!H60</f>
        <v>21573.51</v>
      </c>
      <c r="I7" s="19">
        <f>'Data Sheet'!I60</f>
        <v>21567.02</v>
      </c>
      <c r="J7" s="19">
        <f>'Data Sheet'!J60</f>
        <v>23135.5</v>
      </c>
      <c r="K7" s="19">
        <f>'Data Sheet'!K60</f>
        <v>20796.740000000002</v>
      </c>
    </row>
    <row r="8" spans="1:11" s="8" customFormat="1" x14ac:dyDescent="0.25">
      <c r="A8" s="8" t="s">
        <v>26</v>
      </c>
      <c r="B8" s="20">
        <f>'Data Sheet'!B61</f>
        <v>18604.939999999999</v>
      </c>
      <c r="C8" s="20">
        <f>'Data Sheet'!C61</f>
        <v>17599.64</v>
      </c>
      <c r="D8" s="20">
        <f>'Data Sheet'!D61</f>
        <v>18964.52</v>
      </c>
      <c r="E8" s="20">
        <f>'Data Sheet'!E61</f>
        <v>20820.580000000002</v>
      </c>
      <c r="F8" s="20">
        <f>'Data Sheet'!F61</f>
        <v>24350.52</v>
      </c>
      <c r="G8" s="20">
        <f>'Data Sheet'!G61</f>
        <v>29491.61</v>
      </c>
      <c r="H8" s="20">
        <f>'Data Sheet'!H61</f>
        <v>33912.14</v>
      </c>
      <c r="I8" s="20">
        <f>'Data Sheet'!I61</f>
        <v>35489.99</v>
      </c>
      <c r="J8" s="20">
        <f>'Data Sheet'!J61</f>
        <v>39524.480000000003</v>
      </c>
      <c r="K8" s="20">
        <f>'Data Sheet'!K61</f>
        <v>40831.86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1231.8399999999999</v>
      </c>
      <c r="C10" s="19">
        <f>'Data Sheet'!C62</f>
        <v>1501.1</v>
      </c>
      <c r="D10" s="19">
        <f>'Data Sheet'!D62</f>
        <v>1839.05</v>
      </c>
      <c r="E10" s="19">
        <f>'Data Sheet'!E62</f>
        <v>2297.6</v>
      </c>
      <c r="F10" s="19">
        <f>'Data Sheet'!F62</f>
        <v>2712.59</v>
      </c>
      <c r="G10" s="19">
        <f>'Data Sheet'!G62</f>
        <v>2652.14</v>
      </c>
      <c r="H10" s="19">
        <f>'Data Sheet'!H62</f>
        <v>2675.26</v>
      </c>
      <c r="I10" s="19">
        <f>'Data Sheet'!I62</f>
        <v>2962.86</v>
      </c>
      <c r="J10" s="19">
        <f>'Data Sheet'!J62</f>
        <v>3035.21</v>
      </c>
      <c r="K10" s="19">
        <f>'Data Sheet'!K62</f>
        <v>3994.05</v>
      </c>
    </row>
    <row r="11" spans="1:11" x14ac:dyDescent="0.25">
      <c r="A11" s="6" t="s">
        <v>28</v>
      </c>
      <c r="B11" s="19">
        <f>'Data Sheet'!B63</f>
        <v>429.79</v>
      </c>
      <c r="C11" s="19">
        <f>'Data Sheet'!C63</f>
        <v>742.81</v>
      </c>
      <c r="D11" s="19">
        <f>'Data Sheet'!D63</f>
        <v>940.05</v>
      </c>
      <c r="E11" s="19">
        <f>'Data Sheet'!E63</f>
        <v>849.03</v>
      </c>
      <c r="F11" s="19">
        <f>'Data Sheet'!F63</f>
        <v>827.98</v>
      </c>
      <c r="G11" s="19">
        <f>'Data Sheet'!G63</f>
        <v>882.68</v>
      </c>
      <c r="H11" s="19">
        <f>'Data Sheet'!H63</f>
        <v>1006.04</v>
      </c>
      <c r="I11" s="19">
        <f>'Data Sheet'!I63</f>
        <v>854.94</v>
      </c>
      <c r="J11" s="19">
        <f>'Data Sheet'!J63</f>
        <v>893.72</v>
      </c>
      <c r="K11" s="19">
        <f>'Data Sheet'!K63</f>
        <v>476.98</v>
      </c>
    </row>
    <row r="12" spans="1:11" x14ac:dyDescent="0.25">
      <c r="A12" s="6" t="s">
        <v>29</v>
      </c>
      <c r="B12" s="19">
        <f>'Data Sheet'!B64</f>
        <v>462.46</v>
      </c>
      <c r="C12" s="19">
        <f>'Data Sheet'!C64</f>
        <v>490.96</v>
      </c>
      <c r="D12" s="19">
        <f>'Data Sheet'!D64</f>
        <v>937.34</v>
      </c>
      <c r="E12" s="19">
        <f>'Data Sheet'!E64</f>
        <v>964.42</v>
      </c>
      <c r="F12" s="19">
        <f>'Data Sheet'!F64</f>
        <v>1110.32</v>
      </c>
      <c r="G12" s="19">
        <f>'Data Sheet'!G64</f>
        <v>1305.94</v>
      </c>
      <c r="H12" s="19">
        <f>'Data Sheet'!H64</f>
        <v>1572.02</v>
      </c>
      <c r="I12" s="19">
        <f>'Data Sheet'!I64</f>
        <v>649.99</v>
      </c>
      <c r="J12" s="19">
        <f>'Data Sheet'!J64</f>
        <v>682.23</v>
      </c>
      <c r="K12" s="19">
        <f>'Data Sheet'!K64</f>
        <v>742.97</v>
      </c>
    </row>
    <row r="13" spans="1:11" x14ac:dyDescent="0.25">
      <c r="A13" s="11" t="s">
        <v>73</v>
      </c>
      <c r="B13" s="19">
        <f>'Data Sheet'!B65</f>
        <v>16480.849999999999</v>
      </c>
      <c r="C13" s="19">
        <f>'Data Sheet'!C65</f>
        <v>14864.77</v>
      </c>
      <c r="D13" s="19">
        <f>'Data Sheet'!D65</f>
        <v>15248.08</v>
      </c>
      <c r="E13" s="19">
        <f>'Data Sheet'!E65</f>
        <v>16709.53</v>
      </c>
      <c r="F13" s="19">
        <f>'Data Sheet'!F65</f>
        <v>19699.63</v>
      </c>
      <c r="G13" s="19">
        <f>'Data Sheet'!G65</f>
        <v>24650.85</v>
      </c>
      <c r="H13" s="19">
        <f>'Data Sheet'!H65</f>
        <v>28658.82</v>
      </c>
      <c r="I13" s="19">
        <f>'Data Sheet'!I65</f>
        <v>31022.2</v>
      </c>
      <c r="J13" s="19">
        <f>'Data Sheet'!J65</f>
        <v>34913.32</v>
      </c>
      <c r="K13" s="19">
        <f>'Data Sheet'!K65</f>
        <v>35617.86</v>
      </c>
    </row>
    <row r="14" spans="1:11" s="8" customFormat="1" x14ac:dyDescent="0.25">
      <c r="A14" s="8" t="s">
        <v>26</v>
      </c>
      <c r="B14" s="19">
        <f>'Data Sheet'!B66</f>
        <v>18604.939999999999</v>
      </c>
      <c r="C14" s="19">
        <f>'Data Sheet'!C66</f>
        <v>17599.64</v>
      </c>
      <c r="D14" s="19">
        <f>'Data Sheet'!D66</f>
        <v>18964.52</v>
      </c>
      <c r="E14" s="19">
        <f>'Data Sheet'!E66</f>
        <v>20820.580000000002</v>
      </c>
      <c r="F14" s="19">
        <f>'Data Sheet'!F66</f>
        <v>24350.52</v>
      </c>
      <c r="G14" s="19">
        <f>'Data Sheet'!G66</f>
        <v>29491.61</v>
      </c>
      <c r="H14" s="19">
        <f>'Data Sheet'!H66</f>
        <v>33912.14</v>
      </c>
      <c r="I14" s="19">
        <f>'Data Sheet'!I66</f>
        <v>35489.99</v>
      </c>
      <c r="J14" s="19">
        <f>'Data Sheet'!J66</f>
        <v>39524.480000000003</v>
      </c>
      <c r="K14" s="19">
        <f>'Data Sheet'!K66</f>
        <v>40831.86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7150.4599999999991</v>
      </c>
      <c r="C16" s="21">
        <f t="shared" ref="C16:K16" si="0">C13-C7</f>
        <v>5064.4799999999996</v>
      </c>
      <c r="D16" s="21">
        <f t="shared" si="0"/>
        <v>4379.6000000000004</v>
      </c>
      <c r="E16" s="21">
        <f t="shared" si="0"/>
        <v>5134.0799999999981</v>
      </c>
      <c r="F16" s="21">
        <f t="shared" si="0"/>
        <v>5428.9700000000012</v>
      </c>
      <c r="G16" s="21">
        <f t="shared" si="0"/>
        <v>6221.34</v>
      </c>
      <c r="H16" s="21">
        <f t="shared" si="0"/>
        <v>7085.3100000000013</v>
      </c>
      <c r="I16" s="21">
        <f t="shared" si="0"/>
        <v>9455.18</v>
      </c>
      <c r="J16" s="21">
        <f t="shared" si="0"/>
        <v>11777.82</v>
      </c>
      <c r="K16" s="21">
        <f t="shared" si="0"/>
        <v>14821.119999999999</v>
      </c>
    </row>
    <row r="17" spans="1:11" x14ac:dyDescent="0.25">
      <c r="A17" s="11" t="s">
        <v>44</v>
      </c>
      <c r="B17" s="21">
        <f>'Data Sheet'!B67</f>
        <v>3721.91</v>
      </c>
      <c r="C17" s="21">
        <f>'Data Sheet'!C67</f>
        <v>4368.26</v>
      </c>
      <c r="D17" s="21">
        <f>'Data Sheet'!D67</f>
        <v>5014.3</v>
      </c>
      <c r="E17" s="21">
        <f>'Data Sheet'!E67</f>
        <v>5373.67</v>
      </c>
      <c r="F17" s="21">
        <f>'Data Sheet'!F67</f>
        <v>6724.02</v>
      </c>
      <c r="G17" s="21">
        <f>'Data Sheet'!G67</f>
        <v>6561.99</v>
      </c>
      <c r="H17" s="21">
        <f>'Data Sheet'!H67</f>
        <v>6108.09</v>
      </c>
      <c r="I17" s="21">
        <f>'Data Sheet'!I67</f>
        <v>7033.48</v>
      </c>
      <c r="J17" s="21">
        <f>'Data Sheet'!J67</f>
        <v>7392.38</v>
      </c>
      <c r="K17" s="21">
        <f>'Data Sheet'!K67</f>
        <v>9116.3700000000008</v>
      </c>
    </row>
    <row r="18" spans="1:11" x14ac:dyDescent="0.25">
      <c r="A18" s="11" t="s">
        <v>45</v>
      </c>
      <c r="B18" s="21">
        <f>'Data Sheet'!B68</f>
        <v>4157.6499999999996</v>
      </c>
      <c r="C18" s="21">
        <f>'Data Sheet'!C68</f>
        <v>4885.03</v>
      </c>
      <c r="D18" s="21">
        <f>'Data Sheet'!D68</f>
        <v>4583.37</v>
      </c>
      <c r="E18" s="21">
        <f>'Data Sheet'!E68</f>
        <v>4443.3500000000004</v>
      </c>
      <c r="F18" s="21">
        <f>'Data Sheet'!F68</f>
        <v>3960.51</v>
      </c>
      <c r="G18" s="21">
        <f>'Data Sheet'!G68</f>
        <v>4970.28</v>
      </c>
      <c r="H18" s="21">
        <f>'Data Sheet'!H68</f>
        <v>5594.91</v>
      </c>
      <c r="I18" s="21">
        <f>'Data Sheet'!I68</f>
        <v>6449.75</v>
      </c>
      <c r="J18" s="21">
        <f>'Data Sheet'!J68</f>
        <v>7450.16</v>
      </c>
      <c r="K18" s="21">
        <f>'Data Sheet'!K68</f>
        <v>9118.98</v>
      </c>
    </row>
    <row r="20" spans="1:11" x14ac:dyDescent="0.25">
      <c r="A20" s="11" t="s">
        <v>46</v>
      </c>
      <c r="B20" s="5">
        <f>IF('Profit &amp; Loss'!B4&gt;0,'Balance Sheet'!B17/('Profit &amp; Loss'!B4/365),0)</f>
        <v>184.73478909457322</v>
      </c>
      <c r="C20" s="5">
        <f>IF('Profit &amp; Loss'!C4&gt;0,'Balance Sheet'!C17/('Profit &amp; Loss'!C4/365),0)</f>
        <v>184.18935607106428</v>
      </c>
      <c r="D20" s="5">
        <f>IF('Profit &amp; Loss'!D4&gt;0,'Balance Sheet'!D17/('Profit &amp; Loss'!D4/365),0)</f>
        <v>175.96910814552729</v>
      </c>
      <c r="E20" s="5">
        <f>IF('Profit &amp; Loss'!E4&gt;0,'Balance Sheet'!E17/('Profit &amp; Loss'!E4/365),0)</f>
        <v>161.243187985699</v>
      </c>
      <c r="F20" s="5">
        <f>IF('Profit &amp; Loss'!F4&gt;0,'Balance Sheet'!F17/('Profit &amp; Loss'!F4/365),0)</f>
        <v>189.26046853443989</v>
      </c>
      <c r="G20" s="5">
        <f>IF('Profit &amp; Loss'!G4&gt;0,'Balance Sheet'!G17/('Profit &amp; Loss'!G4/365),0)</f>
        <v>169.76249035169104</v>
      </c>
      <c r="H20" s="5">
        <f>IF('Profit &amp; Loss'!H4&gt;0,'Balance Sheet'!H17/('Profit &amp; Loss'!H4/365),0)</f>
        <v>145.06941290380513</v>
      </c>
      <c r="I20" s="5">
        <f>IF('Profit &amp; Loss'!I4&gt;0,'Balance Sheet'!I17/('Profit &amp; Loss'!I4/365),0)</f>
        <v>144.75902255723892</v>
      </c>
      <c r="J20" s="5">
        <f>IF('Profit &amp; Loss'!J4&gt;0,'Balance Sheet'!J17/('Profit &amp; Loss'!J4/365),0)</f>
        <v>133.12545637904427</v>
      </c>
      <c r="K20" s="5">
        <f>IF('Profit &amp; Loss'!K4&gt;0,'Balance Sheet'!K17/('Profit &amp; Loss'!K4/365),0)</f>
        <v>139.99369129634499</v>
      </c>
    </row>
    <row r="21" spans="1:11" x14ac:dyDescent="0.25">
      <c r="A21" s="11" t="s">
        <v>47</v>
      </c>
      <c r="B21" s="5">
        <f>IF('Balance Sheet'!B18&gt;0,'Profit &amp; Loss'!B4/'Balance Sheet'!B18,0)</f>
        <v>1.7687323367767853</v>
      </c>
      <c r="C21" s="5">
        <f>IF('Balance Sheet'!C18&gt;0,'Profit &amp; Loss'!C4/'Balance Sheet'!C18,0)</f>
        <v>1.7720239179697974</v>
      </c>
      <c r="D21" s="5">
        <f>IF('Balance Sheet'!D18&gt;0,'Profit &amp; Loss'!D4/'Balance Sheet'!D18,0)</f>
        <v>2.2692473005670499</v>
      </c>
      <c r="E21" s="5">
        <f>IF('Balance Sheet'!E18&gt;0,'Profit &amp; Loss'!E4/'Balance Sheet'!E18,0)</f>
        <v>2.7376123870503108</v>
      </c>
      <c r="F21" s="5">
        <f>IF('Balance Sheet'!F18&gt;0,'Profit &amp; Loss'!F4/'Balance Sheet'!F18,0)</f>
        <v>3.2742424586732515</v>
      </c>
      <c r="G21" s="5">
        <f>IF('Balance Sheet'!G18&gt;0,'Profit &amp; Loss'!G4/'Balance Sheet'!G18,0)</f>
        <v>2.838610702012764</v>
      </c>
      <c r="H21" s="5">
        <f>IF('Balance Sheet'!H18&gt;0,'Profit &amp; Loss'!H4/'Balance Sheet'!H18,0)</f>
        <v>2.7468145153362613</v>
      </c>
      <c r="I21" s="5">
        <f>IF('Balance Sheet'!I18&gt;0,'Profit &amp; Loss'!I4/'Balance Sheet'!I18,0)</f>
        <v>2.7496321562851271</v>
      </c>
      <c r="J21" s="5">
        <f>IF('Balance Sheet'!J18&gt;0,'Profit &amp; Loss'!J4/'Balance Sheet'!J18,0)</f>
        <v>2.7205107004413329</v>
      </c>
      <c r="K21" s="5">
        <f>IF('Balance Sheet'!K18&gt;0,'Profit &amp; Loss'!K4/'Balance Sheet'!K18,0)</f>
        <v>2.6065141057442829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0.14464274898985094</v>
      </c>
      <c r="C23" s="14">
        <f>IF(SUM('Balance Sheet'!C4:C5)&gt;0,'Profit &amp; Loss'!C12/SUM('Balance Sheet'!C4:C5),"")</f>
        <v>0.19695259812533206</v>
      </c>
      <c r="D23" s="14">
        <f>IF(SUM('Balance Sheet'!D4:D5)&gt;0,'Profit &amp; Loss'!D12/SUM('Balance Sheet'!D4:D5),"")</f>
        <v>0.17861491476705657</v>
      </c>
      <c r="E23" s="14">
        <f>IF(SUM('Balance Sheet'!E4:E5)&gt;0,'Profit &amp; Loss'!E12/SUM('Balance Sheet'!E4:E5),"")</f>
        <v>0.2047874938935027</v>
      </c>
      <c r="F23" s="14">
        <f>IF(SUM('Balance Sheet'!F4:F5)&gt;0,'Profit &amp; Loss'!F12/SUM('Balance Sheet'!F4:F5),"")</f>
        <v>0.1810896656218072</v>
      </c>
      <c r="G23" s="14">
        <f>IF(SUM('Balance Sheet'!G4:G5)&gt;0,'Profit &amp; Loss'!G12/SUM('Balance Sheet'!G4:G5),"")</f>
        <v>0.18978478387063524</v>
      </c>
      <c r="H23" s="14">
        <f>IF(SUM('Balance Sheet'!H4:H5)&gt;0,'Profit &amp; Loss'!H12/SUM('Balance Sheet'!H4:H5),"")</f>
        <v>0.19525343217810942</v>
      </c>
      <c r="I23" s="14">
        <f>IF(SUM('Balance Sheet'!I4:I5)&gt;0,'Profit &amp; Loss'!I12/SUM('Balance Sheet'!I4:I5),"")</f>
        <v>0.2153007979581045</v>
      </c>
      <c r="J23" s="14">
        <f>IF(SUM('Balance Sheet'!J4:J5)&gt;0,'Profit &amp; Loss'!J12/SUM('Balance Sheet'!J4:J5),"")</f>
        <v>0.24405275604585683</v>
      </c>
      <c r="K23" s="14">
        <f>IF(SUM('Balance Sheet'!K4:K5)&gt;0,'Profit &amp; Loss'!K12/SUM('Balance Sheet'!K4:K5),"")</f>
        <v>0.26641981106334317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0.23432724802183447</v>
      </c>
      <c r="D24" s="14">
        <f>IF((C4+C5+C6+D4+D5+D6)&gt;0,('Profit &amp; Loss'!D10+'Profit &amp; Loss'!D9)*2/(C4+C5+C6+D4+D5+D6),"")</f>
        <v>0.247038921347636</v>
      </c>
      <c r="E24" s="14">
        <f>IF((D4+D5+D6+E4+E5+E6)&gt;0,('Profit &amp; Loss'!E10+'Profit &amp; Loss'!E9)*2/(D4+D5+D6+E4+E5+E6),"")</f>
        <v>0.30497019520597513</v>
      </c>
      <c r="F24" s="14">
        <f>IF((E4+E5+E6+F4+F5+F6)&gt;0,('Profit &amp; Loss'!F10+'Profit &amp; Loss'!F9)*2/(E4+E5+E6+F4+F5+F6),"")</f>
        <v>0.25728965448365043</v>
      </c>
      <c r="G24" s="14">
        <f>IF((F4+F5+F6+G4+G5+G6)&gt;0,('Profit &amp; Loss'!G10+'Profit &amp; Loss'!G9)*2/(F4+F5+F6+G4+G5+G6),"")</f>
        <v>0.27919738756482371</v>
      </c>
      <c r="H24" s="14">
        <f>IF((G4+G5+G6+H4+H5+H6)&gt;0,('Profit &amp; Loss'!H10+'Profit &amp; Loss'!H9)*2/(G4+G5+G6+H4+H5+H6),"")</f>
        <v>0.27134110773467324</v>
      </c>
      <c r="I24" s="14">
        <f>IF((H4+H5+H6+I4+I5+I6)&gt;0,('Profit &amp; Loss'!I10+'Profit &amp; Loss'!I9)*2/(H4+H5+H6+I4+I5+I6),"")</f>
        <v>0.30019039205532028</v>
      </c>
      <c r="J24" s="14">
        <f>IF((I4+I5+I6+J4+J5+J6)&gt;0,('Profit &amp; Loss'!J10+'Profit &amp; Loss'!J9)*2/(I4+I5+I6+J4+J5+J6),"")</f>
        <v>0.34826330869508565</v>
      </c>
      <c r="K24" s="14">
        <f>IF((J4+J5+J6+K4+K5+K6)&gt;0,('Profit &amp; Loss'!K10+'Profit &amp; Loss'!K9)*2/(J4+J5+J6+K4+K5+K6),"")</f>
        <v>0.39032838148368804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BHARAT ELECTRONICS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5">
      <c r="A4" s="8" t="s">
        <v>32</v>
      </c>
      <c r="B4" s="1">
        <f>'Data Sheet'!B82</f>
        <v>2260.06</v>
      </c>
      <c r="C4" s="1">
        <f>'Data Sheet'!C82</f>
        <v>-60.94</v>
      </c>
      <c r="D4" s="1">
        <f>'Data Sheet'!D82</f>
        <v>-686.59</v>
      </c>
      <c r="E4" s="1">
        <f>'Data Sheet'!E82</f>
        <v>1513.88</v>
      </c>
      <c r="F4" s="1">
        <f>'Data Sheet'!F82</f>
        <v>2570.41</v>
      </c>
      <c r="G4" s="1">
        <f>'Data Sheet'!G82</f>
        <v>5093.22</v>
      </c>
      <c r="H4" s="1">
        <f>'Data Sheet'!H82</f>
        <v>4207.22</v>
      </c>
      <c r="I4" s="1">
        <f>'Data Sheet'!I82</f>
        <v>1199.26</v>
      </c>
      <c r="J4" s="1">
        <f>'Data Sheet'!J82</f>
        <v>4659.49</v>
      </c>
      <c r="K4" s="1">
        <f>'Data Sheet'!K82</f>
        <v>586.62</v>
      </c>
    </row>
    <row r="5" spans="1:11" x14ac:dyDescent="0.25">
      <c r="A5" s="6" t="s">
        <v>33</v>
      </c>
      <c r="B5" s="9">
        <f>'Data Sheet'!B83</f>
        <v>-1470.34</v>
      </c>
      <c r="C5" s="9">
        <f>'Data Sheet'!C83</f>
        <v>3114.65</v>
      </c>
      <c r="D5" s="9">
        <f>'Data Sheet'!D83</f>
        <v>-6.41</v>
      </c>
      <c r="E5" s="9">
        <f>'Data Sheet'!E83</f>
        <v>-895.94</v>
      </c>
      <c r="F5" s="9">
        <f>'Data Sheet'!F83</f>
        <v>-648.96</v>
      </c>
      <c r="G5" s="9">
        <f>'Data Sheet'!G83</f>
        <v>-2595.2199999999998</v>
      </c>
      <c r="H5" s="9">
        <f>'Data Sheet'!H83</f>
        <v>-4871.66</v>
      </c>
      <c r="I5" s="9">
        <f>'Data Sheet'!I83</f>
        <v>2707.65</v>
      </c>
      <c r="J5" s="9">
        <f>'Data Sheet'!J83</f>
        <v>-5923.85</v>
      </c>
      <c r="K5" s="9">
        <f>'Data Sheet'!K83</f>
        <v>616.94000000000005</v>
      </c>
    </row>
    <row r="6" spans="1:11" x14ac:dyDescent="0.25">
      <c r="A6" s="6" t="s">
        <v>34</v>
      </c>
      <c r="B6" s="9">
        <f>'Data Sheet'!B84</f>
        <v>-317.7</v>
      </c>
      <c r="C6" s="9">
        <f>'Data Sheet'!C84</f>
        <v>-2856.8</v>
      </c>
      <c r="D6" s="9">
        <f>'Data Sheet'!D84</f>
        <v>-1202.3800000000001</v>
      </c>
      <c r="E6" s="9">
        <f>'Data Sheet'!E84</f>
        <v>-662.67</v>
      </c>
      <c r="F6" s="9">
        <f>'Data Sheet'!F84</f>
        <v>-1060.52</v>
      </c>
      <c r="G6" s="9">
        <f>'Data Sheet'!G84</f>
        <v>-1075.73</v>
      </c>
      <c r="H6" s="9">
        <f>'Data Sheet'!H84</f>
        <v>-1077.5999999999999</v>
      </c>
      <c r="I6" s="9">
        <f>'Data Sheet'!I84</f>
        <v>-1262.08</v>
      </c>
      <c r="J6" s="9">
        <f>'Data Sheet'!J84</f>
        <v>-1475.01</v>
      </c>
      <c r="K6" s="9">
        <f>'Data Sheet'!K84</f>
        <v>-1696.43</v>
      </c>
    </row>
    <row r="7" spans="1:11" s="8" customFormat="1" x14ac:dyDescent="0.25">
      <c r="A7" s="8" t="s">
        <v>35</v>
      </c>
      <c r="B7" s="1">
        <f>'Data Sheet'!B85</f>
        <v>472.02</v>
      </c>
      <c r="C7" s="1">
        <f>'Data Sheet'!C85</f>
        <v>196.91</v>
      </c>
      <c r="D7" s="1">
        <f>'Data Sheet'!D85</f>
        <v>-1895.38</v>
      </c>
      <c r="E7" s="1">
        <f>'Data Sheet'!E85</f>
        <v>-44.73</v>
      </c>
      <c r="F7" s="1">
        <f>'Data Sheet'!F85</f>
        <v>860.93</v>
      </c>
      <c r="G7" s="1">
        <f>'Data Sheet'!G85</f>
        <v>1422.27</v>
      </c>
      <c r="H7" s="1">
        <f>'Data Sheet'!H85</f>
        <v>-1742.04</v>
      </c>
      <c r="I7" s="1">
        <f>'Data Sheet'!I85</f>
        <v>2644.83</v>
      </c>
      <c r="J7" s="1">
        <f>'Data Sheet'!J85</f>
        <v>-2739.37</v>
      </c>
      <c r="K7" s="1">
        <f>'Data Sheet'!K85</f>
        <v>-492.87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32" t="str">
        <f>IF(B2&lt;&gt;B3, "A NEW VERSION OF THE WORKSHEET IS AVAILABLE", "")</f>
        <v/>
      </c>
      <c r="F1" s="32"/>
      <c r="G1" s="32"/>
      <c r="H1" s="32"/>
      <c r="I1" s="32"/>
      <c r="J1" s="32"/>
      <c r="K1" s="32"/>
    </row>
    <row r="2" spans="1:11" x14ac:dyDescent="0.25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5">
      <c r="A3" s="1" t="s">
        <v>62</v>
      </c>
      <c r="B3" s="5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730.97788584591763</v>
      </c>
    </row>
    <row r="7" spans="1:11" x14ac:dyDescent="0.25">
      <c r="A7" s="5" t="s">
        <v>31</v>
      </c>
      <c r="B7">
        <v>1</v>
      </c>
    </row>
    <row r="8" spans="1:11" x14ac:dyDescent="0.25">
      <c r="A8" s="5" t="s">
        <v>43</v>
      </c>
      <c r="B8">
        <v>390.7</v>
      </c>
    </row>
    <row r="9" spans="1:11" x14ac:dyDescent="0.25">
      <c r="A9" s="5" t="s">
        <v>79</v>
      </c>
      <c r="B9">
        <v>285593.06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25">
      <c r="A17" s="9" t="s">
        <v>6</v>
      </c>
      <c r="B17">
        <v>7353.77</v>
      </c>
      <c r="C17">
        <v>8656.39</v>
      </c>
      <c r="D17">
        <v>10400.799999999999</v>
      </c>
      <c r="E17">
        <v>12164.17</v>
      </c>
      <c r="F17">
        <v>12967.67</v>
      </c>
      <c r="G17">
        <v>14108.69</v>
      </c>
      <c r="H17">
        <v>15368.18</v>
      </c>
      <c r="I17">
        <v>17734.439999999999</v>
      </c>
      <c r="J17">
        <v>20268.240000000002</v>
      </c>
      <c r="K17">
        <v>23768.75</v>
      </c>
    </row>
    <row r="18" spans="1:11" s="9" customFormat="1" x14ac:dyDescent="0.25">
      <c r="A18" s="5" t="s">
        <v>80</v>
      </c>
      <c r="B18">
        <v>4019.3</v>
      </c>
      <c r="C18">
        <v>4800.41</v>
      </c>
      <c r="D18">
        <v>5070.74</v>
      </c>
      <c r="E18">
        <v>6037.64</v>
      </c>
      <c r="F18">
        <v>6820.23</v>
      </c>
      <c r="G18">
        <v>7911.37</v>
      </c>
      <c r="H18">
        <v>9146.85</v>
      </c>
      <c r="I18">
        <v>10220.84</v>
      </c>
      <c r="J18">
        <v>11138.04</v>
      </c>
      <c r="K18">
        <v>13008.59</v>
      </c>
    </row>
    <row r="19" spans="1:11" s="9" customFormat="1" x14ac:dyDescent="0.25">
      <c r="A19" s="5" t="s">
        <v>81</v>
      </c>
      <c r="B19">
        <v>232.71</v>
      </c>
      <c r="C19">
        <v>420.06</v>
      </c>
      <c r="D19">
        <v>-410.89</v>
      </c>
      <c r="E19">
        <v>130.68</v>
      </c>
      <c r="F19">
        <v>-249.31</v>
      </c>
      <c r="G19">
        <v>124.69</v>
      </c>
      <c r="H19">
        <v>280.27999999999997</v>
      </c>
      <c r="I19">
        <v>393.28</v>
      </c>
      <c r="J19">
        <v>561.72</v>
      </c>
      <c r="K19">
        <v>821.36</v>
      </c>
    </row>
    <row r="20" spans="1:11" s="9" customFormat="1" x14ac:dyDescent="0.25">
      <c r="A20" s="5" t="s">
        <v>82</v>
      </c>
      <c r="B20">
        <v>45.85</v>
      </c>
      <c r="C20">
        <v>37.99</v>
      </c>
      <c r="D20">
        <v>37.78</v>
      </c>
      <c r="E20">
        <v>43.88</v>
      </c>
      <c r="F20">
        <v>41.6</v>
      </c>
      <c r="G20">
        <v>38.119999999999997</v>
      </c>
      <c r="H20">
        <v>43.13</v>
      </c>
      <c r="I20">
        <v>46.81</v>
      </c>
      <c r="J20">
        <v>57.21</v>
      </c>
    </row>
    <row r="21" spans="1:11" s="9" customFormat="1" x14ac:dyDescent="0.25">
      <c r="A21" s="5" t="s">
        <v>83</v>
      </c>
      <c r="B21">
        <v>153.07</v>
      </c>
      <c r="C21">
        <v>129.58000000000001</v>
      </c>
      <c r="D21">
        <v>154.44</v>
      </c>
      <c r="E21">
        <v>144.1</v>
      </c>
      <c r="F21">
        <v>140.16999999999999</v>
      </c>
      <c r="G21">
        <v>168.78</v>
      </c>
      <c r="H21">
        <v>183.7</v>
      </c>
      <c r="I21">
        <v>147.08000000000001</v>
      </c>
      <c r="J21">
        <v>180.18</v>
      </c>
    </row>
    <row r="22" spans="1:11" s="9" customFormat="1" x14ac:dyDescent="0.25">
      <c r="A22" s="5" t="s">
        <v>84</v>
      </c>
      <c r="B22">
        <v>1267.21</v>
      </c>
      <c r="C22">
        <v>1559.87</v>
      </c>
      <c r="D22">
        <v>1788.07</v>
      </c>
      <c r="E22">
        <v>1895.63</v>
      </c>
      <c r="F22">
        <v>2075.09</v>
      </c>
      <c r="G22">
        <v>1956.16</v>
      </c>
      <c r="H22">
        <v>2128.0100000000002</v>
      </c>
      <c r="I22">
        <v>2317.34</v>
      </c>
      <c r="J22">
        <v>2489.4899999999998</v>
      </c>
      <c r="K22">
        <v>2760.63</v>
      </c>
    </row>
    <row r="23" spans="1:11" s="9" customFormat="1" x14ac:dyDescent="0.25">
      <c r="A23" s="5" t="s">
        <v>85</v>
      </c>
      <c r="B23">
        <v>196.28</v>
      </c>
      <c r="C23">
        <v>214.95</v>
      </c>
      <c r="D23">
        <v>253.59</v>
      </c>
      <c r="E23">
        <v>290.54000000000002</v>
      </c>
      <c r="F23">
        <v>263.08</v>
      </c>
      <c r="G23">
        <v>326.69</v>
      </c>
      <c r="H23">
        <v>215.55</v>
      </c>
      <c r="I23">
        <v>278.86</v>
      </c>
      <c r="J23">
        <v>333.95</v>
      </c>
    </row>
    <row r="24" spans="1:11" s="9" customFormat="1" x14ac:dyDescent="0.25">
      <c r="A24" s="5" t="s">
        <v>86</v>
      </c>
      <c r="B24">
        <v>511.74</v>
      </c>
      <c r="C24">
        <v>541.69000000000005</v>
      </c>
      <c r="D24">
        <v>645.91</v>
      </c>
      <c r="E24">
        <v>973.65</v>
      </c>
      <c r="F24">
        <v>619.66999999999996</v>
      </c>
      <c r="G24">
        <v>618.51</v>
      </c>
      <c r="H24">
        <v>586.84</v>
      </c>
      <c r="I24">
        <v>1027.03</v>
      </c>
      <c r="J24">
        <v>1579.76</v>
      </c>
      <c r="K24">
        <v>1987.19</v>
      </c>
    </row>
    <row r="25" spans="1:11" s="9" customFormat="1" x14ac:dyDescent="0.25">
      <c r="A25" s="9" t="s">
        <v>9</v>
      </c>
      <c r="B25">
        <v>572.64</v>
      </c>
      <c r="C25">
        <v>420.11</v>
      </c>
      <c r="D25">
        <v>195.73</v>
      </c>
      <c r="E25">
        <v>72.989999999999995</v>
      </c>
      <c r="F25">
        <v>99.4</v>
      </c>
      <c r="G25">
        <v>124.96</v>
      </c>
      <c r="H25">
        <v>231.54</v>
      </c>
      <c r="I25">
        <v>280.8</v>
      </c>
      <c r="J25">
        <v>670.14</v>
      </c>
      <c r="K25">
        <v>742.36</v>
      </c>
    </row>
    <row r="26" spans="1:11" s="9" customFormat="1" x14ac:dyDescent="0.25">
      <c r="A26" s="9" t="s">
        <v>10</v>
      </c>
      <c r="B26">
        <v>191.96</v>
      </c>
      <c r="C26">
        <v>211.63</v>
      </c>
      <c r="D26">
        <v>271.72000000000003</v>
      </c>
      <c r="E26">
        <v>338.13</v>
      </c>
      <c r="F26">
        <v>371.86</v>
      </c>
      <c r="G26">
        <v>387.32</v>
      </c>
      <c r="H26">
        <v>401.13</v>
      </c>
      <c r="I26">
        <v>428.82</v>
      </c>
      <c r="J26">
        <v>443.2</v>
      </c>
      <c r="K26">
        <v>467.38</v>
      </c>
    </row>
    <row r="27" spans="1:11" s="9" customFormat="1" x14ac:dyDescent="0.25">
      <c r="A27" s="9" t="s">
        <v>11</v>
      </c>
      <c r="B27">
        <v>9.74</v>
      </c>
      <c r="C27">
        <v>17.87</v>
      </c>
      <c r="D27">
        <v>6.36</v>
      </c>
      <c r="E27">
        <v>15.93</v>
      </c>
      <c r="F27">
        <v>7.66</v>
      </c>
      <c r="G27">
        <v>9.61</v>
      </c>
      <c r="H27">
        <v>8.5500000000000007</v>
      </c>
      <c r="I27">
        <v>18.829999999999998</v>
      </c>
      <c r="J27">
        <v>12.06</v>
      </c>
      <c r="K27">
        <v>9.68</v>
      </c>
    </row>
    <row r="28" spans="1:11" s="9" customFormat="1" x14ac:dyDescent="0.25">
      <c r="A28" s="9" t="s">
        <v>12</v>
      </c>
      <c r="B28">
        <v>1763.97</v>
      </c>
      <c r="C28">
        <v>1982.57</v>
      </c>
      <c r="D28">
        <v>1957.03</v>
      </c>
      <c r="E28">
        <v>2628.34</v>
      </c>
      <c r="F28">
        <v>2478.4</v>
      </c>
      <c r="G28">
        <v>2941.78</v>
      </c>
      <c r="H28">
        <v>3166.24</v>
      </c>
      <c r="I28">
        <v>3922.91</v>
      </c>
      <c r="J28">
        <v>5266.21</v>
      </c>
      <c r="K28">
        <v>7099</v>
      </c>
    </row>
    <row r="29" spans="1:11" s="9" customFormat="1" x14ac:dyDescent="0.25">
      <c r="A29" s="9" t="s">
        <v>13</v>
      </c>
      <c r="B29">
        <v>427.22</v>
      </c>
      <c r="C29">
        <v>485.54</v>
      </c>
      <c r="D29">
        <v>549.78</v>
      </c>
      <c r="E29">
        <v>780.31</v>
      </c>
      <c r="F29">
        <v>685.77</v>
      </c>
      <c r="G29">
        <v>872.44</v>
      </c>
      <c r="H29">
        <v>811.78</v>
      </c>
      <c r="I29">
        <v>982.56</v>
      </c>
      <c r="J29">
        <v>1323.1</v>
      </c>
      <c r="K29">
        <v>1811.85</v>
      </c>
    </row>
    <row r="30" spans="1:11" s="9" customFormat="1" x14ac:dyDescent="0.25">
      <c r="A30" s="9" t="s">
        <v>14</v>
      </c>
      <c r="B30">
        <v>1337.39</v>
      </c>
      <c r="C30">
        <v>1523.58</v>
      </c>
      <c r="D30">
        <v>1431.72</v>
      </c>
      <c r="E30">
        <v>1886.4</v>
      </c>
      <c r="F30">
        <v>1823.85</v>
      </c>
      <c r="G30">
        <v>2098.94</v>
      </c>
      <c r="H30">
        <v>2398.87</v>
      </c>
      <c r="I30">
        <v>2984.42</v>
      </c>
      <c r="J30">
        <v>3984.52</v>
      </c>
      <c r="K30">
        <v>5321.44</v>
      </c>
    </row>
    <row r="31" spans="1:11" s="9" customFormat="1" x14ac:dyDescent="0.25">
      <c r="A31" s="9" t="s">
        <v>70</v>
      </c>
      <c r="B31">
        <v>408</v>
      </c>
      <c r="C31">
        <v>502.56</v>
      </c>
      <c r="D31">
        <v>487.32</v>
      </c>
      <c r="E31">
        <v>828.44</v>
      </c>
      <c r="F31">
        <v>682.25</v>
      </c>
      <c r="G31">
        <v>974.64</v>
      </c>
      <c r="H31">
        <v>1096.47</v>
      </c>
      <c r="I31">
        <v>1315.76</v>
      </c>
      <c r="J31">
        <v>1608.16</v>
      </c>
      <c r="K31">
        <v>1754.35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44926</v>
      </c>
      <c r="C41" s="16">
        <v>45016</v>
      </c>
      <c r="D41" s="16">
        <v>45107</v>
      </c>
      <c r="E41" s="16">
        <v>45199</v>
      </c>
      <c r="F41" s="16">
        <v>45291</v>
      </c>
      <c r="G41" s="16">
        <v>45382</v>
      </c>
      <c r="H41" s="16">
        <v>45473</v>
      </c>
      <c r="I41" s="16">
        <v>45565</v>
      </c>
      <c r="J41" s="16">
        <v>45657</v>
      </c>
      <c r="K41" s="16">
        <v>45747</v>
      </c>
    </row>
    <row r="42" spans="1:11" s="9" customFormat="1" x14ac:dyDescent="0.25">
      <c r="A42" s="9" t="s">
        <v>6</v>
      </c>
      <c r="B42">
        <v>4153.12</v>
      </c>
      <c r="C42">
        <v>6479.12</v>
      </c>
      <c r="D42">
        <v>3532.94</v>
      </c>
      <c r="E42">
        <v>4009.06</v>
      </c>
      <c r="F42">
        <v>4162.16</v>
      </c>
      <c r="G42">
        <v>8564.08</v>
      </c>
      <c r="H42">
        <v>4243.57</v>
      </c>
      <c r="I42">
        <v>4604.8999999999996</v>
      </c>
      <c r="J42">
        <v>5770.69</v>
      </c>
      <c r="K42">
        <v>9149.59</v>
      </c>
    </row>
    <row r="43" spans="1:11" s="9" customFormat="1" x14ac:dyDescent="0.25">
      <c r="A43" s="9" t="s">
        <v>7</v>
      </c>
      <c r="B43">
        <v>3289.73</v>
      </c>
      <c r="C43">
        <v>4647.28</v>
      </c>
      <c r="D43">
        <v>2860.43</v>
      </c>
      <c r="E43">
        <v>2994.89</v>
      </c>
      <c r="F43">
        <v>3089.66</v>
      </c>
      <c r="G43">
        <v>6276.85</v>
      </c>
      <c r="H43">
        <v>3295.37</v>
      </c>
      <c r="I43">
        <v>3204.95</v>
      </c>
      <c r="J43">
        <v>4101.2</v>
      </c>
      <c r="K43">
        <v>6333.53</v>
      </c>
    </row>
    <row r="44" spans="1:11" s="9" customFormat="1" x14ac:dyDescent="0.25">
      <c r="A44" s="9" t="s">
        <v>9</v>
      </c>
      <c r="B44">
        <v>58.64</v>
      </c>
      <c r="C44">
        <v>66.16</v>
      </c>
      <c r="D44">
        <v>140.22999999999999</v>
      </c>
      <c r="E44">
        <v>137.06</v>
      </c>
      <c r="F44">
        <v>167.42</v>
      </c>
      <c r="G44">
        <v>225.43</v>
      </c>
      <c r="H44">
        <v>203.58</v>
      </c>
      <c r="I44">
        <v>157.76</v>
      </c>
      <c r="J44">
        <v>186.38</v>
      </c>
      <c r="K44">
        <v>194.64</v>
      </c>
    </row>
    <row r="45" spans="1:11" s="9" customFormat="1" x14ac:dyDescent="0.25">
      <c r="A45" s="9" t="s">
        <v>10</v>
      </c>
      <c r="B45">
        <v>106.07</v>
      </c>
      <c r="C45">
        <v>113.98</v>
      </c>
      <c r="D45">
        <v>108.94</v>
      </c>
      <c r="E45">
        <v>108.26</v>
      </c>
      <c r="F45">
        <v>107.46</v>
      </c>
      <c r="G45">
        <v>118.54</v>
      </c>
      <c r="H45">
        <v>107.68</v>
      </c>
      <c r="I45">
        <v>111.19</v>
      </c>
      <c r="J45">
        <v>110.93</v>
      </c>
      <c r="K45">
        <v>137.58000000000001</v>
      </c>
    </row>
    <row r="46" spans="1:11" s="9" customFormat="1" x14ac:dyDescent="0.25">
      <c r="A46" s="9" t="s">
        <v>11</v>
      </c>
      <c r="B46">
        <v>9.7200000000000006</v>
      </c>
      <c r="C46">
        <v>2.46</v>
      </c>
      <c r="D46">
        <v>1.07</v>
      </c>
      <c r="E46">
        <v>1.51</v>
      </c>
      <c r="F46">
        <v>0.51</v>
      </c>
      <c r="G46">
        <v>4.05</v>
      </c>
      <c r="H46">
        <v>1.18</v>
      </c>
      <c r="I46">
        <v>1.32</v>
      </c>
      <c r="J46">
        <v>1.32</v>
      </c>
      <c r="K46">
        <v>5.86</v>
      </c>
    </row>
    <row r="47" spans="1:11" s="9" customFormat="1" x14ac:dyDescent="0.25">
      <c r="A47" s="9" t="s">
        <v>12</v>
      </c>
      <c r="B47">
        <v>806.24</v>
      </c>
      <c r="C47">
        <v>1781.56</v>
      </c>
      <c r="D47">
        <v>702.73</v>
      </c>
      <c r="E47">
        <v>1041.46</v>
      </c>
      <c r="F47">
        <v>1131.95</v>
      </c>
      <c r="G47">
        <v>2390.0700000000002</v>
      </c>
      <c r="H47">
        <v>1042.92</v>
      </c>
      <c r="I47">
        <v>1445.2</v>
      </c>
      <c r="J47">
        <v>1743.62</v>
      </c>
      <c r="K47">
        <v>2867.26</v>
      </c>
    </row>
    <row r="48" spans="1:11" s="9" customFormat="1" x14ac:dyDescent="0.25">
      <c r="A48" s="9" t="s">
        <v>13</v>
      </c>
      <c r="B48">
        <v>203.23</v>
      </c>
      <c r="C48">
        <v>415.18</v>
      </c>
      <c r="D48">
        <v>174.13</v>
      </c>
      <c r="E48">
        <v>260.73</v>
      </c>
      <c r="F48">
        <v>283.83</v>
      </c>
      <c r="G48">
        <v>604.41</v>
      </c>
      <c r="H48">
        <v>261.93</v>
      </c>
      <c r="I48">
        <v>361.32</v>
      </c>
      <c r="J48">
        <v>442.35</v>
      </c>
      <c r="K48">
        <v>746.25</v>
      </c>
    </row>
    <row r="49" spans="1:11" s="9" customFormat="1" x14ac:dyDescent="0.25">
      <c r="A49" s="9" t="s">
        <v>14</v>
      </c>
      <c r="B49">
        <v>613.01</v>
      </c>
      <c r="C49">
        <v>1382.02</v>
      </c>
      <c r="D49">
        <v>538.48</v>
      </c>
      <c r="E49">
        <v>789.35</v>
      </c>
      <c r="F49">
        <v>859.58</v>
      </c>
      <c r="G49">
        <v>1797.11</v>
      </c>
      <c r="H49">
        <v>791</v>
      </c>
      <c r="I49">
        <v>1092.45</v>
      </c>
      <c r="J49">
        <v>1310.95</v>
      </c>
      <c r="K49">
        <v>2127.04</v>
      </c>
    </row>
    <row r="50" spans="1:11" x14ac:dyDescent="0.25">
      <c r="A50" s="9" t="s">
        <v>8</v>
      </c>
      <c r="B50">
        <v>863.39</v>
      </c>
      <c r="C50">
        <v>1831.84</v>
      </c>
      <c r="D50">
        <v>672.51</v>
      </c>
      <c r="E50">
        <v>1014.17</v>
      </c>
      <c r="F50">
        <v>1072.5</v>
      </c>
      <c r="G50">
        <v>2287.23</v>
      </c>
      <c r="H50">
        <v>948.2</v>
      </c>
      <c r="I50">
        <v>1399.95</v>
      </c>
      <c r="J50">
        <v>1669.49</v>
      </c>
      <c r="K50">
        <v>2816.06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5">
      <c r="A57" s="9" t="s">
        <v>24</v>
      </c>
      <c r="B57">
        <v>240</v>
      </c>
      <c r="C57">
        <v>223.36</v>
      </c>
      <c r="D57">
        <v>243.66</v>
      </c>
      <c r="E57">
        <v>243.66</v>
      </c>
      <c r="F57">
        <v>243.66</v>
      </c>
      <c r="G57">
        <v>243.66</v>
      </c>
      <c r="H57">
        <v>243.66</v>
      </c>
      <c r="I57">
        <v>730.98</v>
      </c>
      <c r="J57">
        <v>730.98</v>
      </c>
      <c r="K57">
        <v>730.98</v>
      </c>
    </row>
    <row r="58" spans="1:11" x14ac:dyDescent="0.25">
      <c r="A58" s="9" t="s">
        <v>25</v>
      </c>
      <c r="B58">
        <v>9006.16</v>
      </c>
      <c r="C58">
        <v>7512.41</v>
      </c>
      <c r="D58">
        <v>7772.02</v>
      </c>
      <c r="E58">
        <v>8967.84</v>
      </c>
      <c r="F58">
        <v>9827.8700000000008</v>
      </c>
      <c r="G58">
        <v>10815.92</v>
      </c>
      <c r="H58">
        <v>12042.27</v>
      </c>
      <c r="I58">
        <v>13130.65</v>
      </c>
      <c r="J58">
        <v>15595.49</v>
      </c>
      <c r="K58">
        <v>19242.91</v>
      </c>
    </row>
    <row r="59" spans="1:11" x14ac:dyDescent="0.25">
      <c r="A59" s="9" t="s">
        <v>71</v>
      </c>
      <c r="B59">
        <v>28.39</v>
      </c>
      <c r="C59">
        <v>63.58</v>
      </c>
      <c r="D59">
        <v>80.36</v>
      </c>
      <c r="E59">
        <v>33.630000000000003</v>
      </c>
      <c r="F59">
        <v>8.33</v>
      </c>
      <c r="G59">
        <v>2.52</v>
      </c>
      <c r="H59">
        <v>52.7</v>
      </c>
      <c r="I59">
        <v>61.34</v>
      </c>
      <c r="J59">
        <v>62.51</v>
      </c>
      <c r="K59">
        <v>61.23</v>
      </c>
    </row>
    <row r="60" spans="1:11" x14ac:dyDescent="0.25">
      <c r="A60" s="9" t="s">
        <v>72</v>
      </c>
      <c r="B60">
        <v>9330.39</v>
      </c>
      <c r="C60">
        <v>9800.2900000000009</v>
      </c>
      <c r="D60">
        <v>10868.48</v>
      </c>
      <c r="E60">
        <v>11575.45</v>
      </c>
      <c r="F60">
        <v>14270.66</v>
      </c>
      <c r="G60">
        <v>18429.509999999998</v>
      </c>
      <c r="H60">
        <v>21573.51</v>
      </c>
      <c r="I60">
        <v>21567.02</v>
      </c>
      <c r="J60">
        <v>23135.5</v>
      </c>
      <c r="K60">
        <v>20796.740000000002</v>
      </c>
    </row>
    <row r="61" spans="1:11" s="1" customFormat="1" x14ac:dyDescent="0.25">
      <c r="A61" s="1" t="s">
        <v>26</v>
      </c>
      <c r="B61">
        <v>18604.939999999999</v>
      </c>
      <c r="C61">
        <v>17599.64</v>
      </c>
      <c r="D61">
        <v>18964.52</v>
      </c>
      <c r="E61">
        <v>20820.580000000002</v>
      </c>
      <c r="F61">
        <v>24350.52</v>
      </c>
      <c r="G61">
        <v>29491.61</v>
      </c>
      <c r="H61">
        <v>33912.14</v>
      </c>
      <c r="I61">
        <v>35489.99</v>
      </c>
      <c r="J61">
        <v>39524.480000000003</v>
      </c>
      <c r="K61">
        <v>40831.86</v>
      </c>
    </row>
    <row r="62" spans="1:11" x14ac:dyDescent="0.25">
      <c r="A62" s="9" t="s">
        <v>27</v>
      </c>
      <c r="B62">
        <v>1231.8399999999999</v>
      </c>
      <c r="C62">
        <v>1501.1</v>
      </c>
      <c r="D62">
        <v>1839.05</v>
      </c>
      <c r="E62">
        <v>2297.6</v>
      </c>
      <c r="F62">
        <v>2712.59</v>
      </c>
      <c r="G62">
        <v>2652.14</v>
      </c>
      <c r="H62">
        <v>2675.26</v>
      </c>
      <c r="I62">
        <v>2962.86</v>
      </c>
      <c r="J62">
        <v>3035.21</v>
      </c>
      <c r="K62">
        <v>3994.05</v>
      </c>
    </row>
    <row r="63" spans="1:11" x14ac:dyDescent="0.25">
      <c r="A63" s="9" t="s">
        <v>28</v>
      </c>
      <c r="B63">
        <v>429.79</v>
      </c>
      <c r="C63">
        <v>742.81</v>
      </c>
      <c r="D63">
        <v>940.05</v>
      </c>
      <c r="E63">
        <v>849.03</v>
      </c>
      <c r="F63">
        <v>827.98</v>
      </c>
      <c r="G63">
        <v>882.68</v>
      </c>
      <c r="H63">
        <v>1006.04</v>
      </c>
      <c r="I63">
        <v>854.94</v>
      </c>
      <c r="J63">
        <v>893.72</v>
      </c>
      <c r="K63">
        <v>476.98</v>
      </c>
    </row>
    <row r="64" spans="1:11" x14ac:dyDescent="0.25">
      <c r="A64" s="9" t="s">
        <v>29</v>
      </c>
      <c r="B64">
        <v>462.46</v>
      </c>
      <c r="C64">
        <v>490.96</v>
      </c>
      <c r="D64">
        <v>937.34</v>
      </c>
      <c r="E64">
        <v>964.42</v>
      </c>
      <c r="F64">
        <v>1110.32</v>
      </c>
      <c r="G64">
        <v>1305.94</v>
      </c>
      <c r="H64">
        <v>1572.02</v>
      </c>
      <c r="I64">
        <v>649.99</v>
      </c>
      <c r="J64">
        <v>682.23</v>
      </c>
      <c r="K64">
        <v>742.97</v>
      </c>
    </row>
    <row r="65" spans="1:11" x14ac:dyDescent="0.25">
      <c r="A65" s="9" t="s">
        <v>73</v>
      </c>
      <c r="B65">
        <v>16480.849999999999</v>
      </c>
      <c r="C65">
        <v>14864.77</v>
      </c>
      <c r="D65">
        <v>15248.08</v>
      </c>
      <c r="E65">
        <v>16709.53</v>
      </c>
      <c r="F65">
        <v>19699.63</v>
      </c>
      <c r="G65">
        <v>24650.85</v>
      </c>
      <c r="H65">
        <v>28658.82</v>
      </c>
      <c r="I65">
        <v>31022.2</v>
      </c>
      <c r="J65">
        <v>34913.32</v>
      </c>
      <c r="K65">
        <v>35617.86</v>
      </c>
    </row>
    <row r="66" spans="1:11" s="1" customFormat="1" x14ac:dyDescent="0.25">
      <c r="A66" s="1" t="s">
        <v>26</v>
      </c>
      <c r="B66">
        <v>18604.939999999999</v>
      </c>
      <c r="C66">
        <v>17599.64</v>
      </c>
      <c r="D66">
        <v>18964.52</v>
      </c>
      <c r="E66">
        <v>20820.580000000002</v>
      </c>
      <c r="F66">
        <v>24350.52</v>
      </c>
      <c r="G66">
        <v>29491.61</v>
      </c>
      <c r="H66">
        <v>33912.14</v>
      </c>
      <c r="I66">
        <v>35489.99</v>
      </c>
      <c r="J66">
        <v>39524.480000000003</v>
      </c>
      <c r="K66">
        <v>40831.86</v>
      </c>
    </row>
    <row r="67" spans="1:11" s="9" customFormat="1" x14ac:dyDescent="0.25">
      <c r="A67" s="9" t="s">
        <v>78</v>
      </c>
      <c r="B67">
        <v>3721.91</v>
      </c>
      <c r="C67">
        <v>4368.26</v>
      </c>
      <c r="D67">
        <v>5014.3</v>
      </c>
      <c r="E67">
        <v>5373.67</v>
      </c>
      <c r="F67">
        <v>6724.02</v>
      </c>
      <c r="G67">
        <v>6561.99</v>
      </c>
      <c r="H67">
        <v>6108.09</v>
      </c>
      <c r="I67">
        <v>7033.48</v>
      </c>
      <c r="J67">
        <v>7392.38</v>
      </c>
      <c r="K67">
        <v>9116.3700000000008</v>
      </c>
    </row>
    <row r="68" spans="1:11" x14ac:dyDescent="0.25">
      <c r="A68" s="9" t="s">
        <v>45</v>
      </c>
      <c r="B68">
        <v>4157.6499999999996</v>
      </c>
      <c r="C68">
        <v>4885.03</v>
      </c>
      <c r="D68">
        <v>4583.37</v>
      </c>
      <c r="E68">
        <v>4443.3500000000004</v>
      </c>
      <c r="F68">
        <v>3960.51</v>
      </c>
      <c r="G68">
        <v>4970.28</v>
      </c>
      <c r="H68">
        <v>5594.91</v>
      </c>
      <c r="I68">
        <v>6449.75</v>
      </c>
      <c r="J68">
        <v>7450.16</v>
      </c>
      <c r="K68">
        <v>9118.98</v>
      </c>
    </row>
    <row r="69" spans="1:11" x14ac:dyDescent="0.25">
      <c r="A69" s="5" t="s">
        <v>87</v>
      </c>
      <c r="B69">
        <v>7216.11</v>
      </c>
      <c r="C69">
        <v>3827.19</v>
      </c>
      <c r="D69">
        <v>841.07</v>
      </c>
      <c r="E69">
        <v>971.87</v>
      </c>
      <c r="F69">
        <v>1660.5</v>
      </c>
      <c r="G69">
        <v>5073.76</v>
      </c>
      <c r="H69">
        <v>7563.74</v>
      </c>
      <c r="I69">
        <v>8111.58</v>
      </c>
      <c r="J69">
        <v>11056.59</v>
      </c>
      <c r="K69">
        <v>9545.1</v>
      </c>
    </row>
    <row r="70" spans="1:11" x14ac:dyDescent="0.25">
      <c r="A70" s="5" t="s">
        <v>74</v>
      </c>
      <c r="B70">
        <v>240000000</v>
      </c>
      <c r="C70">
        <v>2233627930</v>
      </c>
      <c r="D70">
        <v>2436592943</v>
      </c>
      <c r="E70">
        <v>2436592943</v>
      </c>
      <c r="F70">
        <v>2436592943</v>
      </c>
      <c r="G70">
        <v>2436592943</v>
      </c>
      <c r="H70">
        <v>2436592943</v>
      </c>
      <c r="I70">
        <v>7309778829</v>
      </c>
      <c r="J70">
        <v>7309778829</v>
      </c>
    </row>
    <row r="71" spans="1:11" x14ac:dyDescent="0.25">
      <c r="A71" s="5" t="s">
        <v>75</v>
      </c>
      <c r="B71">
        <v>160000000</v>
      </c>
      <c r="D71">
        <v>223362793</v>
      </c>
    </row>
    <row r="72" spans="1:11" x14ac:dyDescent="0.25">
      <c r="A72" s="5" t="s">
        <v>88</v>
      </c>
      <c r="B72">
        <v>10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25">
      <c r="A82" s="9" t="s">
        <v>32</v>
      </c>
      <c r="B82">
        <v>2260.06</v>
      </c>
      <c r="C82">
        <v>-60.94</v>
      </c>
      <c r="D82">
        <v>-686.59</v>
      </c>
      <c r="E82">
        <v>1513.88</v>
      </c>
      <c r="F82">
        <v>2570.41</v>
      </c>
      <c r="G82">
        <v>5093.22</v>
      </c>
      <c r="H82">
        <v>4207.22</v>
      </c>
      <c r="I82">
        <v>1199.26</v>
      </c>
      <c r="J82">
        <v>4659.49</v>
      </c>
      <c r="K82">
        <v>586.62</v>
      </c>
    </row>
    <row r="83" spans="1:11" s="9" customFormat="1" x14ac:dyDescent="0.25">
      <c r="A83" s="9" t="s">
        <v>33</v>
      </c>
      <c r="B83">
        <v>-1470.34</v>
      </c>
      <c r="C83">
        <v>3114.65</v>
      </c>
      <c r="D83">
        <v>-6.41</v>
      </c>
      <c r="E83">
        <v>-895.94</v>
      </c>
      <c r="F83">
        <v>-648.96</v>
      </c>
      <c r="G83">
        <v>-2595.2199999999998</v>
      </c>
      <c r="H83">
        <v>-4871.66</v>
      </c>
      <c r="I83">
        <v>2707.65</v>
      </c>
      <c r="J83">
        <v>-5923.85</v>
      </c>
      <c r="K83">
        <v>616.94000000000005</v>
      </c>
    </row>
    <row r="84" spans="1:11" s="9" customFormat="1" x14ac:dyDescent="0.25">
      <c r="A84" s="9" t="s">
        <v>34</v>
      </c>
      <c r="B84">
        <v>-317.7</v>
      </c>
      <c r="C84">
        <v>-2856.8</v>
      </c>
      <c r="D84">
        <v>-1202.3800000000001</v>
      </c>
      <c r="E84">
        <v>-662.67</v>
      </c>
      <c r="F84">
        <v>-1060.52</v>
      </c>
      <c r="G84">
        <v>-1075.73</v>
      </c>
      <c r="H84">
        <v>-1077.5999999999999</v>
      </c>
      <c r="I84">
        <v>-1262.08</v>
      </c>
      <c r="J84">
        <v>-1475.01</v>
      </c>
      <c r="K84">
        <v>-1696.43</v>
      </c>
    </row>
    <row r="85" spans="1:11" s="1" customFormat="1" x14ac:dyDescent="0.25">
      <c r="A85" s="9" t="s">
        <v>35</v>
      </c>
      <c r="B85">
        <v>472.02</v>
      </c>
      <c r="C85">
        <v>196.91</v>
      </c>
      <c r="D85">
        <v>-1895.38</v>
      </c>
      <c r="E85">
        <v>-44.73</v>
      </c>
      <c r="F85">
        <v>860.93</v>
      </c>
      <c r="G85">
        <v>1422.27</v>
      </c>
      <c r="H85">
        <v>-1742.04</v>
      </c>
      <c r="I85">
        <v>2644.83</v>
      </c>
      <c r="J85">
        <v>-2739.37</v>
      </c>
      <c r="K85">
        <v>-492.87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37.1</v>
      </c>
      <c r="C90">
        <v>47.5</v>
      </c>
      <c r="D90">
        <v>47.15</v>
      </c>
      <c r="E90">
        <v>31.08</v>
      </c>
      <c r="F90">
        <v>24.82</v>
      </c>
      <c r="G90">
        <v>41.7</v>
      </c>
      <c r="H90">
        <v>70.27</v>
      </c>
      <c r="I90">
        <v>97.55</v>
      </c>
      <c r="J90">
        <v>201.5</v>
      </c>
      <c r="K90">
        <v>301.32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792</v>
      </c>
      <c r="C93" s="31">
        <v>737.1</v>
      </c>
      <c r="D93" s="31">
        <v>730.98</v>
      </c>
      <c r="E93" s="31">
        <v>730.98</v>
      </c>
      <c r="F93" s="31">
        <v>730.98</v>
      </c>
      <c r="G93" s="31">
        <v>730.98</v>
      </c>
      <c r="H93" s="31">
        <v>730.98</v>
      </c>
      <c r="I93" s="31">
        <v>730.98</v>
      </c>
      <c r="J93" s="31">
        <v>730.98</v>
      </c>
      <c r="K93" s="31">
        <v>730.98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Goyal, Saransh</cp:lastModifiedBy>
  <cp:lastPrinted>2012-12-06T18:14:13Z</cp:lastPrinted>
  <dcterms:created xsi:type="dcterms:W3CDTF">2012-08-17T09:55:37Z</dcterms:created>
  <dcterms:modified xsi:type="dcterms:W3CDTF">2025-06-08T10:42:10Z</dcterms:modified>
</cp:coreProperties>
</file>